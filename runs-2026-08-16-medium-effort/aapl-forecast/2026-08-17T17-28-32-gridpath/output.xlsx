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9" authorId="0">
      <text>
        <r>
          <t>FY2026 Q4 (Sep quarter) is an ESTIMATE. Apple guided Q4 FY2026 revenue growth of 9-11% YoY on the Q3 FY2026 earnings call, citing supply constraints on iPhone/iPad/Mac from rising memory/component costs. Model uses 10% YoY growth vs Q4 FY2025 ($102,466M) and assumes gross margin compresses to 48.5% (from Q3's tariff-refund-boosted 50.1%) as one-time tariff refund benefits fade.</t>
        </r>
      </text>
    </comment>
    <comment ref="A32" authorId="0">
      <text>
        <r>
          <t>FY2027E and FY2028E quarters are driven mechanically from these assumption cells (blue) applied to the prior-year same quarter. These are analyst assumptions, not company guidance, which Apple does not provide beyond the current quarter. Adjust any assumption cell to re-flex the full 8-quarter forecast.</t>
        </r>
      </text>
    </comment>
  </commentList>
</comments>
</file>

<file path=xl/sharedStrings.xml><?xml version="1.0" encoding="utf-8"?>
<sst xmlns="http://schemas.openxmlformats.org/spreadsheetml/2006/main" count="64" uniqueCount="62">
  <si>
    <t>Apple Inc. (AAPL) — Income Statement Forecast, FY2026E–FY2028E (Quarterly)</t>
  </si>
  <si>
    <t>$ in millions, except per-share amounts. Fiscal year ends late September. A = Actual, E = Estimate. Sources: Apple 8-K press releases (Q1–Q3 FY2026 actuals), company guidance, GridPath analyst assumptions.</t>
  </si>
  <si>
    <t>FY2026 Q1</t>
  </si>
  <si>
    <t>FY2026 Q2</t>
  </si>
  <si>
    <t>FY2026 Q3</t>
  </si>
  <si>
    <t>FY2026 Q4</t>
  </si>
  <si>
    <t>FY2026</t>
  </si>
  <si>
    <t>FY2027 Q1</t>
  </si>
  <si>
    <t>FY2027 Q2</t>
  </si>
  <si>
    <t>FY2027 Q3</t>
  </si>
  <si>
    <t>FY2027 Q4</t>
  </si>
  <si>
    <t>FY2027</t>
  </si>
  <si>
    <t>FY2028 Q1</t>
  </si>
  <si>
    <t>FY2028 Q2</t>
  </si>
  <si>
    <t>FY2028 Q3</t>
  </si>
  <si>
    <t>FY2028 Q4</t>
  </si>
  <si>
    <t>FY2028</t>
  </si>
  <si>
    <t>Dec-25 (A)</t>
  </si>
  <si>
    <t>Mar-26 (A)</t>
  </si>
  <si>
    <t>Jun-26 (A)</t>
  </si>
  <si>
    <t>Sep-26 (E)</t>
  </si>
  <si>
    <t>FY2026E</t>
  </si>
  <si>
    <t>Dec-26 (E)</t>
  </si>
  <si>
    <t>Mar-27 (E)</t>
  </si>
  <si>
    <t>Jun-27 (E)</t>
  </si>
  <si>
    <t>Sep-27 (E)</t>
  </si>
  <si>
    <t>FY2027E</t>
  </si>
  <si>
    <t>Dec-27 (E)</t>
  </si>
  <si>
    <t>Mar-28 (E)</t>
  </si>
  <si>
    <t>Jun-28 (E)</t>
  </si>
  <si>
    <t>Sep-28 (E)</t>
  </si>
  <si>
    <t>FY2028E</t>
  </si>
  <si>
    <t>Net sales — Products</t>
  </si>
  <si>
    <t>Net sales — Services</t>
  </si>
  <si>
    <t>Total net sales</t>
  </si>
  <si>
    <t xml:space="preserve">  YoY growth %</t>
  </si>
  <si>
    <t>Total cost of sales</t>
  </si>
  <si>
    <t>Gross profit</t>
  </si>
  <si>
    <t xml:space="preserve">  Gross margin %</t>
  </si>
  <si>
    <t>Research &amp; development</t>
  </si>
  <si>
    <t>Selling, general &amp; administrative</t>
  </si>
  <si>
    <t>Total operating expenses</t>
  </si>
  <si>
    <t>Operating income</t>
  </si>
  <si>
    <t xml:space="preserve">  Operating margin %</t>
  </si>
  <si>
    <t>Other income/(expense), net</t>
  </si>
  <si>
    <t>Income before provision for income taxes</t>
  </si>
  <si>
    <t>Provision for income taxes</t>
  </si>
  <si>
    <t xml:space="preserve">  Effective tax rate %</t>
  </si>
  <si>
    <t>Net income</t>
  </si>
  <si>
    <t xml:space="preserve">  Net margin %</t>
  </si>
  <si>
    <t>Diluted weighted-avg shares (millions)</t>
  </si>
  <si>
    <t>Diluted EPS ($)</t>
  </si>
  <si>
    <t>Key Forecast Assumptions</t>
  </si>
  <si>
    <t>FY2026 Q4E</t>
  </si>
  <si>
    <t>Products revenue growth % YoY</t>
  </si>
  <si>
    <t>Services revenue growth % YoY</t>
  </si>
  <si>
    <t>Gross margin %</t>
  </si>
  <si>
    <t>Total opex as % of revenue</t>
  </si>
  <si>
    <t>R&amp;D as % of total opex</t>
  </si>
  <si>
    <t>Other income/(expense), $M per quarter</t>
  </si>
  <si>
    <t>Effective tax rate %</t>
  </si>
  <si>
    <t>Diluted share count YoY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</si>
</sst>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;-"/>
    <numFmt numFmtId="165" formatCode="0.0%;(0.0%);-"/>
    <numFmt numFmtId="166" formatCode="#,##0.0"/>
    <numFmt numFmtId="167" formatCode="$#,##0.00"/>
  </numFmts>
  <fonts count="9" x14ac:knownFonts="1">
    <font>
      <color theme="1"/>
      <family val="2"/>
      <scheme val="minor"/>
      <sz val="11"/>
      <name val="Calibri"/>
    </font>
    <font>
      <b/>
      <sz val="14"/>
      <name val="Calibri"/>
    </font>
    <font>
      <i/>
      <color rgb="FF595959"/>
      <sz val="9"/>
    </font>
    <font>
      <b/>
      <color rgb="FFFFFFFF"/>
    </font>
    <font>
      <i/>
      <sz val="9"/>
    </font>
    <font>
      <name val="Calibri"/>
    </font>
    <font>
      <b/>
      <name val="Calibri"/>
    </font>
    <font>
      <b/>
    </font>
    <font>
      <b/>
      <i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/>
    <xf numFmtId="164" fontId="0" fillId="0" borderId="0" xfId="0" applyNumberFormat="1"/>
    <xf numFmtId="0" fontId="6" fillId="0" borderId="0" xfId="0" applyFont="1"/>
    <xf numFmtId="164" fontId="7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7" fillId="0" borderId="0" xfId="0" applyNumberFormat="1" applyFont="1"/>
    <xf numFmtId="0" fontId="7" fillId="5" borderId="0" xfId="0" applyFont="1" applyFill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6.42857142857143" customWidth="1"/>
    <col min="2" max="5" width="12.428571428571429" customWidth="1"/>
    <col min="6" max="6" width="13.285714285714286" customWidth="1"/>
    <col min="7" max="10" width="12.428571428571429" customWidth="1"/>
    <col min="11" max="11" width="13.285714285714286" customWidth="1"/>
    <col min="12" max="15" width="12.428571428571429" customWidth="1"/>
    <col min="16" max="16" width="13.28571428571428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6" x14ac:dyDescent="0.25">
      <c r="A4" s="3"/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4" t="s">
        <v>16</v>
      </c>
    </row>
    <row r="5" spans="1:16" x14ac:dyDescent="0.25">
      <c r="A5" s="5"/>
      <c r="B5" s="5" t="s">
        <v>17</v>
      </c>
      <c r="C5" s="5" t="s">
        <v>18</v>
      </c>
      <c r="D5" s="5" t="s">
        <v>19</v>
      </c>
      <c r="E5" s="5" t="s">
        <v>20</v>
      </c>
      <c r="F5" s="6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6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6" t="s">
        <v>31</v>
      </c>
    </row>
    <row r="7" spans="1:16" x14ac:dyDescent="0.25">
      <c r="A7" s="7" t="s">
        <v>32</v>
      </c>
      <c r="B7" s="8">
        <v>113743</v>
      </c>
      <c r="C7" s="8">
        <v>80208</v>
      </c>
      <c r="D7" s="8">
        <v>78678</v>
      </c>
      <c r="E7" s="8">
        <v>81713</v>
      </c>
      <c r="F7" s="8">
        <f>SUM(B7:E7)</f>
        <v>354342</v>
      </c>
      <c r="G7" s="8">
        <f>B7*(1+$C$34)</f>
        <v>120567.58</v>
      </c>
      <c r="H7" s="8">
        <f>C7*(1+$C$34)</f>
        <v>85020.48000000001</v>
      </c>
      <c r="I7" s="8">
        <f>D7*(1+$C$34)</f>
        <v>83398.68000000001</v>
      </c>
      <c r="J7" s="8">
        <f>E7*(1+$C$34)</f>
        <v>86615.78</v>
      </c>
      <c r="K7" s="8">
        <f>SUM(G7:J7)</f>
        <v>375602.52</v>
      </c>
      <c r="L7" s="8">
        <f>G7*(1+$D$34)</f>
        <v>127198.7969</v>
      </c>
      <c r="M7" s="8">
        <f>H7*(1+$D$34)</f>
        <v>89696.6064</v>
      </c>
      <c r="N7" s="8">
        <f>I7*(1+$D$34)</f>
        <v>87985.60740000001</v>
      </c>
      <c r="O7" s="8">
        <f>J7*(1+$D$34)</f>
        <v>91379.6479</v>
      </c>
      <c r="P7" s="8">
        <f>SUM(L7:O7)</f>
        <v>396260.65859999997</v>
      </c>
    </row>
    <row r="8" spans="1:16" x14ac:dyDescent="0.25">
      <c r="A8" s="7" t="s">
        <v>33</v>
      </c>
      <c r="B8" s="8">
        <v>30013</v>
      </c>
      <c r="C8" s="8">
        <v>30976</v>
      </c>
      <c r="D8" s="8">
        <v>30739</v>
      </c>
      <c r="E8" s="8">
        <v>31000</v>
      </c>
      <c r="F8" s="8">
        <f>SUM(B8:E8)</f>
        <v>122728</v>
      </c>
      <c r="G8" s="8">
        <f>B8*(1+$C$35)</f>
        <v>33914.689999999995</v>
      </c>
      <c r="H8" s="8">
        <f>C8*(1+$C$35)</f>
        <v>35002.88</v>
      </c>
      <c r="I8" s="8">
        <f>D8*(1+$C$35)</f>
        <v>34735.07</v>
      </c>
      <c r="J8" s="8">
        <f>E8*(1+$C$35)</f>
        <v>35030</v>
      </c>
      <c r="K8" s="8">
        <f>SUM(G8:J8)</f>
        <v>138682.63999999998</v>
      </c>
      <c r="L8" s="8">
        <f>G8*(1+$D$35)</f>
        <v>38323.59969999999</v>
      </c>
      <c r="M8" s="8">
        <f>H8*(1+$D$35)</f>
        <v>39553.25439999999</v>
      </c>
      <c r="N8" s="8">
        <f>I8*(1+$D$35)</f>
        <v>39250.6291</v>
      </c>
      <c r="O8" s="8">
        <f>J8*(1+$D$35)</f>
        <v>39583.899999999994</v>
      </c>
      <c r="P8" s="8">
        <f>SUM(L8:O8)</f>
        <v>156711.38319999998</v>
      </c>
    </row>
    <row r="9" spans="1:16" x14ac:dyDescent="0.25">
      <c r="A9" s="9" t="s">
        <v>34</v>
      </c>
      <c r="B9" s="10">
        <f>B7+B8</f>
        <v>143756</v>
      </c>
      <c r="C9" s="10">
        <f>C7+C8</f>
        <v>111184</v>
      </c>
      <c r="D9" s="10">
        <f>D7+D8</f>
        <v>109417</v>
      </c>
      <c r="E9" s="10">
        <f>E7+E8</f>
        <v>112713</v>
      </c>
      <c r="F9" s="10">
        <f>SUM(B9:E9)</f>
        <v>477070</v>
      </c>
      <c r="G9" s="10">
        <f>G7+G8</f>
        <v>154482.27</v>
      </c>
      <c r="H9" s="10">
        <f>H7+H8</f>
        <v>120023.36000000002</v>
      </c>
      <c r="I9" s="10">
        <f>I7+I8</f>
        <v>118133.75</v>
      </c>
      <c r="J9" s="10">
        <f>J7+J8</f>
        <v>121645.78</v>
      </c>
      <c r="K9" s="10">
        <f>SUM(G9:J9)</f>
        <v>514285.16000000003</v>
      </c>
      <c r="L9" s="10">
        <f>L7+L8</f>
        <v>165522.39659999998</v>
      </c>
      <c r="M9" s="10">
        <f>M7+M8</f>
        <v>129249.8608</v>
      </c>
      <c r="N9" s="10">
        <f>N7+N8</f>
        <v>127236.2365</v>
      </c>
      <c r="O9" s="10">
        <f>O7+O8</f>
        <v>130963.54789999999</v>
      </c>
      <c r="P9" s="10">
        <f>SUM(L9:O9)</f>
        <v>552972.0418</v>
      </c>
    </row>
    <row r="10" spans="1:16" x14ac:dyDescent="0.25">
      <c r="A10" s="7" t="s">
        <v>35</v>
      </c>
      <c r="B10" s="11">
        <v>0.1565</v>
      </c>
      <c r="C10" s="11">
        <v>0.1659</v>
      </c>
      <c r="D10" s="11">
        <v>0.1636</v>
      </c>
      <c r="E10" s="11">
        <v>0.1</v>
      </c>
      <c r="F10" s="11">
        <f>F9/416161-1</f>
        <v>0.14635922155127457</v>
      </c>
      <c r="G10" s="11">
        <f>G9/B9-1</f>
        <v>0.07461441609393682</v>
      </c>
      <c r="H10" s="11">
        <f>H9/C9-1</f>
        <v>0.0795020866311702</v>
      </c>
      <c r="I10" s="11">
        <f>I9/D9-1</f>
        <v>0.07966540848314252</v>
      </c>
      <c r="J10" s="11">
        <f>J9/E9-1</f>
        <v>0.07925243760701961</v>
      </c>
      <c r="K10" s="11">
        <f>K9/F9-1</f>
        <v>0.07800775567526785</v>
      </c>
      <c r="L10" s="11">
        <f>L9/G9-1</f>
        <v>0.0714653312642286</v>
      </c>
      <c r="M10" s="11">
        <f>M9/H9-1</f>
        <v>0.07687254214512884</v>
      </c>
      <c r="N10" s="11">
        <f>N9/I9-1</f>
        <v>0.07705237918884311</v>
      </c>
      <c r="O10" s="11">
        <f>O9/J9-1</f>
        <v>0.07659754329332258</v>
      </c>
      <c r="P10" s="11">
        <f>P9/K9-1</f>
        <v>0.07522457346426248</v>
      </c>
    </row>
    <row r="11" spans="1:1" x14ac:dyDescent="0.25">
      <c r="A11" s="7"/>
    </row>
    <row r="12" spans="1:16" x14ac:dyDescent="0.25">
      <c r="A12" s="7" t="s">
        <v>36</v>
      </c>
      <c r="B12" s="8">
        <v>74525</v>
      </c>
      <c r="C12" s="8">
        <v>56403</v>
      </c>
      <c r="D12" s="8">
        <v>54647</v>
      </c>
      <c r="E12" s="8">
        <v>58047</v>
      </c>
      <c r="F12" s="8">
        <f>SUM(B12:E12)</f>
        <v>243622</v>
      </c>
      <c r="G12" s="8">
        <f>G9*(1-$C$36)</f>
        <v>80330.7804</v>
      </c>
      <c r="H12" s="8">
        <f>H9*(1-$C$36)</f>
        <v>62412.14720000001</v>
      </c>
      <c r="I12" s="8">
        <f>I9*(1-$C$36)</f>
        <v>61429.55</v>
      </c>
      <c r="J12" s="8">
        <f>J9*(1-$C$36)</f>
        <v>63255.8056</v>
      </c>
      <c r="K12" s="8">
        <f>SUM(G12:J12)</f>
        <v>267428.2832</v>
      </c>
      <c r="L12" s="8">
        <f>L9*(1-$D$36)</f>
        <v>85575.07904219998</v>
      </c>
      <c r="M12" s="8">
        <f>M9*(1-$D$36)</f>
        <v>66822.1780336</v>
      </c>
      <c r="N12" s="8">
        <f>N9*(1-$D$36)</f>
        <v>65781.1342705</v>
      </c>
      <c r="O12" s="8">
        <f>O9*(1-$D$36)</f>
        <v>67708.1542643</v>
      </c>
      <c r="P12" s="8">
        <f>SUM(L12:O12)</f>
        <v>285886.5456106</v>
      </c>
    </row>
    <row r="13" spans="1:16" x14ac:dyDescent="0.25">
      <c r="A13" s="9" t="s">
        <v>37</v>
      </c>
      <c r="B13" s="10">
        <f>B9-B12</f>
        <v>69231</v>
      </c>
      <c r="C13" s="10">
        <f>C9-C12</f>
        <v>54781</v>
      </c>
      <c r="D13" s="10">
        <f>D9-D12</f>
        <v>54770</v>
      </c>
      <c r="E13" s="10">
        <f>E9-E12</f>
        <v>54666</v>
      </c>
      <c r="F13" s="10">
        <f>F9-F12</f>
        <v>233448</v>
      </c>
      <c r="G13" s="10">
        <f>G9-G12</f>
        <v>74151.48959999999</v>
      </c>
      <c r="H13" s="10">
        <f>H9-H12</f>
        <v>57611.21280000001</v>
      </c>
      <c r="I13" s="10">
        <f>I9-I12</f>
        <v>56704.2</v>
      </c>
      <c r="J13" s="10">
        <f>J9-J12</f>
        <v>58389.9744</v>
      </c>
      <c r="K13" s="10">
        <f>K9-K12</f>
        <v>246856.87680000003</v>
      </c>
      <c r="L13" s="10">
        <f>L9-L12</f>
        <v>79947.3175578</v>
      </c>
      <c r="M13" s="10">
        <f>M9-M12</f>
        <v>62427.6827664</v>
      </c>
      <c r="N13" s="10">
        <f>N9-N12</f>
        <v>61455.1022295</v>
      </c>
      <c r="O13" s="10">
        <f>O9-O12</f>
        <v>63255.39363569999</v>
      </c>
      <c r="P13" s="10">
        <f>P9-P12</f>
        <v>267085.49618940003</v>
      </c>
    </row>
    <row r="14" spans="1:16" x14ac:dyDescent="0.25">
      <c r="A14" s="7" t="s">
        <v>38</v>
      </c>
      <c r="B14" s="11">
        <f>B13/B9</f>
        <v>0.4815868555051615</v>
      </c>
      <c r="C14" s="11">
        <f>C13/C9</f>
        <v>0.4927057850050367</v>
      </c>
      <c r="D14" s="11">
        <f>D13/D9</f>
        <v>0.500562069879452</v>
      </c>
      <c r="E14" s="11">
        <f>E13/E9</f>
        <v>0.4850017300577573</v>
      </c>
      <c r="F14" s="11">
        <f>F13/F9</f>
        <v>0.4893369945710273</v>
      </c>
      <c r="G14" s="11">
        <f>G13/G9</f>
        <v>0.4799999999999999</v>
      </c>
      <c r="H14" s="11">
        <f>H13/H9</f>
        <v>0.48</v>
      </c>
      <c r="I14" s="11">
        <f>I13/I9</f>
        <v>0.48</v>
      </c>
      <c r="J14" s="11">
        <f>J13/J9</f>
        <v>0.48</v>
      </c>
      <c r="K14" s="11">
        <f>K13/K9</f>
        <v>0.48000000000000004</v>
      </c>
      <c r="L14" s="11">
        <f>L13/L9</f>
        <v>0.48300000000000004</v>
      </c>
      <c r="M14" s="11">
        <f>M13/M9</f>
        <v>0.48300000000000004</v>
      </c>
      <c r="N14" s="11">
        <f>N13/N9</f>
        <v>0.483</v>
      </c>
      <c r="O14" s="11">
        <f>O13/O9</f>
        <v>0.483</v>
      </c>
      <c r="P14" s="11">
        <f>P13/P9</f>
        <v>0.48300000000000004</v>
      </c>
    </row>
    <row r="15" spans="1:1" x14ac:dyDescent="0.25">
      <c r="A15" s="7"/>
    </row>
    <row r="16" spans="1:16" x14ac:dyDescent="0.25">
      <c r="A16" s="7" t="s">
        <v>39</v>
      </c>
      <c r="B16" s="8">
        <v>10887</v>
      </c>
      <c r="C16" s="8">
        <v>11187</v>
      </c>
      <c r="D16" s="8">
        <v>11292</v>
      </c>
      <c r="E16" s="8">
        <v>11432</v>
      </c>
      <c r="F16" s="8">
        <f>SUM(B16:E16)</f>
        <v>44798</v>
      </c>
      <c r="G16" s="8">
        <f>G18*$C$38</f>
        <v>14449.653606719998</v>
      </c>
      <c r="H16" s="8">
        <f>H18*$C$38</f>
        <v>11226.50500096</v>
      </c>
      <c r="I16" s="8">
        <f>I18*$C$38</f>
        <v>11049.75844</v>
      </c>
      <c r="J16" s="8">
        <f>J18*$C$38</f>
        <v>11378.25967808</v>
      </c>
      <c r="K16" s="8">
        <f>SUM(G16:J16)</f>
        <v>48104.17672576</v>
      </c>
      <c r="L16" s="8">
        <f>L18*$D$38</f>
        <v>15286.324370803197</v>
      </c>
      <c r="M16" s="8">
        <f>M18*$D$38</f>
        <v>11936.4831446016</v>
      </c>
      <c r="N16" s="8">
        <f>N18*$D$38</f>
        <v>11750.520913248</v>
      </c>
      <c r="O16" s="8">
        <f>O18*$D$38</f>
        <v>12094.745575660798</v>
      </c>
      <c r="P16" s="8">
        <f>SUM(L16:O16)</f>
        <v>51068.074004313596</v>
      </c>
    </row>
    <row r="17" spans="1:16" x14ac:dyDescent="0.25">
      <c r="A17" s="7" t="s">
        <v>40</v>
      </c>
      <c r="B17" s="8">
        <v>7492</v>
      </c>
      <c r="C17" s="8">
        <v>7709</v>
      </c>
      <c r="D17" s="8">
        <v>7783</v>
      </c>
      <c r="E17" s="8">
        <v>7868</v>
      </c>
      <c r="F17" s="8">
        <f>SUM(B17:E17)</f>
        <v>30852</v>
      </c>
      <c r="G17" s="8">
        <f>G18-G16</f>
        <v>9958.54505328</v>
      </c>
      <c r="H17" s="8">
        <f>H18-H16</f>
        <v>7737.185879040002</v>
      </c>
      <c r="I17" s="8">
        <f>I18-I16</f>
        <v>7615.37406</v>
      </c>
      <c r="J17" s="8">
        <f>J18-J16</f>
        <v>7841.773561920001</v>
      </c>
      <c r="K17" s="8">
        <f>SUM(G17:J17)</f>
        <v>33152.87855424001</v>
      </c>
      <c r="L17" s="8">
        <f>L18-L16</f>
        <v>10535.169498796799</v>
      </c>
      <c r="M17" s="8">
        <f>M18-M16</f>
        <v>8226.4951401984</v>
      </c>
      <c r="N17" s="8">
        <f>N18-N16</f>
        <v>8098.331980752</v>
      </c>
      <c r="O17" s="8">
        <f>O18-O16</f>
        <v>8335.5678967392</v>
      </c>
      <c r="P17" s="8">
        <f>SUM(L17:O17)</f>
        <v>35195.5645164864</v>
      </c>
    </row>
    <row r="18" spans="1:16" x14ac:dyDescent="0.25">
      <c r="A18" s="7" t="s">
        <v>41</v>
      </c>
      <c r="B18" s="8">
        <f>B16+B17</f>
        <v>18379</v>
      </c>
      <c r="C18" s="8">
        <f>C16+C17</f>
        <v>18896</v>
      </c>
      <c r="D18" s="8">
        <f>D16+D17</f>
        <v>19075</v>
      </c>
      <c r="E18" s="8">
        <f>E16+E17</f>
        <v>19300</v>
      </c>
      <c r="F18" s="8">
        <f>SUM(B18:E18)</f>
        <v>75650</v>
      </c>
      <c r="G18" s="8">
        <f>G9*$C$37</f>
        <v>24408.19866</v>
      </c>
      <c r="H18" s="8">
        <f>H9*$C$37</f>
        <v>18963.690880000002</v>
      </c>
      <c r="I18" s="8">
        <f>I9*$C$37</f>
        <v>18665.1325</v>
      </c>
      <c r="J18" s="8">
        <f>J9*$C$37</f>
        <v>19220.03324</v>
      </c>
      <c r="K18" s="8">
        <f>SUM(G18:J18)</f>
        <v>81257.05528</v>
      </c>
      <c r="L18" s="8">
        <f>L9*$D$37</f>
        <v>25821.493869599995</v>
      </c>
      <c r="M18" s="8">
        <f>M9*$D$37</f>
        <v>20162.9782848</v>
      </c>
      <c r="N18" s="8">
        <f>N9*$D$37</f>
        <v>19848.852894</v>
      </c>
      <c r="O18" s="8">
        <f>O9*$D$37</f>
        <v>20430.313472399997</v>
      </c>
      <c r="P18" s="8">
        <f>SUM(L18:O18)</f>
        <v>86263.63852079998</v>
      </c>
    </row>
    <row r="19" spans="1:16" x14ac:dyDescent="0.25">
      <c r="A19" s="9" t="s">
        <v>42</v>
      </c>
      <c r="B19" s="10">
        <f>B13-B18</f>
        <v>50852</v>
      </c>
      <c r="C19" s="10">
        <f>C13-C18</f>
        <v>35885</v>
      </c>
      <c r="D19" s="10">
        <f>D13-D18</f>
        <v>35695</v>
      </c>
      <c r="E19" s="10">
        <f>E13-E18</f>
        <v>35366</v>
      </c>
      <c r="F19" s="10">
        <f>F13-F18</f>
        <v>157798</v>
      </c>
      <c r="G19" s="10">
        <f>G13-G18</f>
        <v>49743.29093999999</v>
      </c>
      <c r="H19" s="10">
        <f>H13-H18</f>
        <v>38647.52192000001</v>
      </c>
      <c r="I19" s="10">
        <f>I13-I18</f>
        <v>38039.0675</v>
      </c>
      <c r="J19" s="10">
        <f>J13-J18</f>
        <v>39169.94116</v>
      </c>
      <c r="K19" s="10">
        <f>K13-K18</f>
        <v>165599.82152000003</v>
      </c>
      <c r="L19" s="10">
        <f>L13-L18</f>
        <v>54125.8236882</v>
      </c>
      <c r="M19" s="10">
        <f>M13-M18</f>
        <v>42264.7044816</v>
      </c>
      <c r="N19" s="10">
        <f>N13-N18</f>
        <v>41606.249335500004</v>
      </c>
      <c r="O19" s="10">
        <f>O13-O18</f>
        <v>42825.080163299994</v>
      </c>
      <c r="P19" s="10">
        <f>P13-P18</f>
        <v>180821.85766860005</v>
      </c>
    </row>
    <row r="20" spans="1:16" x14ac:dyDescent="0.25">
      <c r="A20" s="7" t="s">
        <v>43</v>
      </c>
      <c r="B20" s="11">
        <f>B19/B9</f>
        <v>0.35373827875010433</v>
      </c>
      <c r="C20" s="11">
        <f>C19/C9</f>
        <v>0.32275327385235286</v>
      </c>
      <c r="D20" s="11">
        <f>D19/D9</f>
        <v>0.3262290137729969</v>
      </c>
      <c r="E20" s="11">
        <f>E19/E9</f>
        <v>0.3137703725391037</v>
      </c>
      <c r="F20" s="11">
        <f>F19/F9</f>
        <v>0.3307648772716792</v>
      </c>
      <c r="G20" s="11">
        <f>G19/G9</f>
        <v>0.32199999999999995</v>
      </c>
      <c r="H20" s="11">
        <f>H19/H9</f>
        <v>0.322</v>
      </c>
      <c r="I20" s="11">
        <f>I19/I9</f>
        <v>0.32199999999999995</v>
      </c>
      <c r="J20" s="11">
        <f>J19/J9</f>
        <v>0.322</v>
      </c>
      <c r="K20" s="11">
        <f>K19/K9</f>
        <v>0.322</v>
      </c>
      <c r="L20" s="11">
        <f>L19/L9</f>
        <v>0.327</v>
      </c>
      <c r="M20" s="11">
        <f>M19/M9</f>
        <v>0.327</v>
      </c>
      <c r="N20" s="11">
        <f>N19/N9</f>
        <v>0.327</v>
      </c>
      <c r="O20" s="11">
        <f>O19/O9</f>
        <v>0.32699999999999996</v>
      </c>
      <c r="P20" s="11">
        <f>P19/P9</f>
        <v>0.32700000000000007</v>
      </c>
    </row>
    <row r="21" spans="1:16" x14ac:dyDescent="0.25">
      <c r="A21" s="7" t="s">
        <v>44</v>
      </c>
      <c r="B21" s="8">
        <v>150</v>
      </c>
      <c r="C21" s="8">
        <v>-47</v>
      </c>
      <c r="D21" s="8">
        <v>577</v>
      </c>
      <c r="E21" s="8">
        <v>100</v>
      </c>
      <c r="F21" s="8">
        <f>SUM(B21:E21)</f>
        <v>780</v>
      </c>
      <c r="G21" s="8">
        <f>$C$39</f>
        <v>0</v>
      </c>
      <c r="H21" s="8">
        <f>$C$39</f>
        <v>0</v>
      </c>
      <c r="I21" s="8">
        <f>$C$39</f>
        <v>0</v>
      </c>
      <c r="J21" s="8">
        <f>$C$39</f>
        <v>0</v>
      </c>
      <c r="K21" s="8">
        <f>SUM(G21:J21)</f>
        <v>0</v>
      </c>
      <c r="L21" s="8">
        <f>$D$39</f>
        <v>0</v>
      </c>
      <c r="M21" s="8">
        <f>$D$39</f>
        <v>0</v>
      </c>
      <c r="N21" s="8">
        <f>$D$39</f>
        <v>0</v>
      </c>
      <c r="O21" s="8">
        <f>$D$39</f>
        <v>0</v>
      </c>
      <c r="P21" s="8">
        <f>SUM(L21:O21)</f>
        <v>0</v>
      </c>
    </row>
    <row r="22" spans="1:16" x14ac:dyDescent="0.25">
      <c r="A22" s="9" t="s">
        <v>45</v>
      </c>
      <c r="B22" s="10">
        <f>B19+B21</f>
        <v>51002</v>
      </c>
      <c r="C22" s="10">
        <f>C19+C21</f>
        <v>35838</v>
      </c>
      <c r="D22" s="10">
        <f>D19+D21</f>
        <v>36272</v>
      </c>
      <c r="E22" s="10">
        <f>E19+E21</f>
        <v>35466</v>
      </c>
      <c r="F22" s="10">
        <f>F19+F21</f>
        <v>158578</v>
      </c>
      <c r="G22" s="10">
        <f>G19+G21</f>
        <v>49743.29093999999</v>
      </c>
      <c r="H22" s="10">
        <f>H19+H21</f>
        <v>38647.52192000001</v>
      </c>
      <c r="I22" s="10">
        <f>I19+I21</f>
        <v>38039.0675</v>
      </c>
      <c r="J22" s="10">
        <f>J19+J21</f>
        <v>39169.94116</v>
      </c>
      <c r="K22" s="10">
        <f>K19+K21</f>
        <v>165599.82152000003</v>
      </c>
      <c r="L22" s="10">
        <f>L19+L21</f>
        <v>54125.8236882</v>
      </c>
      <c r="M22" s="10">
        <f>M19+M21</f>
        <v>42264.7044816</v>
      </c>
      <c r="N22" s="10">
        <f>N19+N21</f>
        <v>41606.249335500004</v>
      </c>
      <c r="O22" s="10">
        <f>O19+O21</f>
        <v>42825.080163299994</v>
      </c>
      <c r="P22" s="10">
        <f>P19+P21</f>
        <v>180821.85766860005</v>
      </c>
    </row>
    <row r="23" spans="1:16" x14ac:dyDescent="0.25">
      <c r="A23" s="7" t="s">
        <v>46</v>
      </c>
      <c r="B23" s="8">
        <v>8905</v>
      </c>
      <c r="C23" s="8">
        <v>6260</v>
      </c>
      <c r="D23" s="8">
        <v>6483</v>
      </c>
      <c r="E23" s="8">
        <f>E22*$B$40</f>
        <v>5851.89</v>
      </c>
      <c r="F23" s="8">
        <f>SUM(B23:E23)</f>
        <v>27499.89</v>
      </c>
      <c r="G23" s="8">
        <f>G22*$C$40</f>
        <v>7958.926550399999</v>
      </c>
      <c r="H23" s="8">
        <f>H22*$C$40</f>
        <v>6183.603507200001</v>
      </c>
      <c r="I23" s="8">
        <f>I22*$C$40</f>
        <v>6086.2508</v>
      </c>
      <c r="J23" s="8">
        <f>J22*$C$40</f>
        <v>6267.1905856</v>
      </c>
      <c r="K23" s="8">
        <f>SUM(G23:J23)</f>
        <v>26495.971443200004</v>
      </c>
      <c r="L23" s="8">
        <f>L22*$D$40</f>
        <v>8660.131790112</v>
      </c>
      <c r="M23" s="8">
        <f>M22*$D$40</f>
        <v>6762.352717056</v>
      </c>
      <c r="N23" s="8">
        <f>N22*$D$40</f>
        <v>6656.999893680001</v>
      </c>
      <c r="O23" s="8">
        <f>O22*$D$40</f>
        <v>6852.012826127999</v>
      </c>
      <c r="P23" s="8">
        <f>SUM(L23:O23)</f>
        <v>28931.497226975996</v>
      </c>
    </row>
    <row r="24" spans="1:16" x14ac:dyDescent="0.25">
      <c r="A24" s="7" t="s">
        <v>47</v>
      </c>
      <c r="B24" s="11">
        <f>B23/B22</f>
        <v>0.17460099603937101</v>
      </c>
      <c r="C24" s="11">
        <f>C23/C22</f>
        <v>0.17467492605614152</v>
      </c>
      <c r="D24" s="11">
        <f>D23/D22</f>
        <v>0.17873290692545213</v>
      </c>
      <c r="E24" s="11">
        <f>E23/E22</f>
        <v>0.165</v>
      </c>
      <c r="F24" s="11">
        <f>F23/F22</f>
        <v>0.17341554313965366</v>
      </c>
      <c r="G24" s="11">
        <f>G23/G22</f>
        <v>0.16</v>
      </c>
      <c r="H24" s="11">
        <f>H23/H22</f>
        <v>0.16</v>
      </c>
      <c r="I24" s="11">
        <f>I23/I22</f>
        <v>0.16</v>
      </c>
      <c r="J24" s="11">
        <f>J23/J22</f>
        <v>0.16</v>
      </c>
      <c r="K24" s="11">
        <f>K23/K22</f>
        <v>0.16</v>
      </c>
      <c r="L24" s="11">
        <f>L23/L22</f>
        <v>0.16</v>
      </c>
      <c r="M24" s="11">
        <f>M23/M22</f>
        <v>0.16</v>
      </c>
      <c r="N24" s="11">
        <f>N23/N22</f>
        <v>0.16</v>
      </c>
      <c r="O24" s="11">
        <f>O23/O22</f>
        <v>0.16</v>
      </c>
      <c r="P24" s="11">
        <f>P23/P22</f>
        <v>0.15999999999999995</v>
      </c>
    </row>
    <row r="25" spans="1:16" x14ac:dyDescent="0.25">
      <c r="A25" s="9" t="s">
        <v>48</v>
      </c>
      <c r="B25" s="10">
        <f>B22-B23</f>
        <v>42097</v>
      </c>
      <c r="C25" s="10">
        <f>C22-C23</f>
        <v>29578</v>
      </c>
      <c r="D25" s="10">
        <f>D22-D23</f>
        <v>29789</v>
      </c>
      <c r="E25" s="10">
        <f>E22-E23</f>
        <v>29614.11</v>
      </c>
      <c r="F25" s="10">
        <f>SUM(B25:E25)</f>
        <v>131078.11</v>
      </c>
      <c r="G25" s="10">
        <f>G22-G23</f>
        <v>41784.36438959999</v>
      </c>
      <c r="H25" s="10">
        <f>H22-H23</f>
        <v>32463.918412800005</v>
      </c>
      <c r="I25" s="10">
        <f>I22-I23</f>
        <v>31952.816699999996</v>
      </c>
      <c r="J25" s="10">
        <f>J22-J23</f>
        <v>32902.7505744</v>
      </c>
      <c r="K25" s="10">
        <f>SUM(G25:J25)</f>
        <v>139103.8500768</v>
      </c>
      <c r="L25" s="10">
        <f>L22-L23</f>
        <v>45465.691898088</v>
      </c>
      <c r="M25" s="10">
        <f>M22-M23</f>
        <v>35502.351764544</v>
      </c>
      <c r="N25" s="10">
        <f>N22-N23</f>
        <v>34949.24944182</v>
      </c>
      <c r="O25" s="10">
        <f>O22-O23</f>
        <v>35973.067337172</v>
      </c>
      <c r="P25" s="10">
        <f>SUM(L25:O25)</f>
        <v>151890.36044162398</v>
      </c>
    </row>
    <row r="26" spans="1:16" x14ac:dyDescent="0.25">
      <c r="A26" s="7" t="s">
        <v>49</v>
      </c>
      <c r="B26" s="11">
        <f>B25/B9</f>
        <v>0.292836472912435</v>
      </c>
      <c r="C26" s="11">
        <f>C25/C9</f>
        <v>0.2660274859692042</v>
      </c>
      <c r="D26" s="11">
        <f>D25/D9</f>
        <v>0.2722520266503377</v>
      </c>
      <c r="E26" s="11">
        <f>E25/E9</f>
        <v>0.26273908067392404</v>
      </c>
      <c r="F26" s="11">
        <f>F25/F9</f>
        <v>0.2747565556417297</v>
      </c>
      <c r="G26" s="11">
        <f>G25/G9</f>
        <v>0.27047999999999994</v>
      </c>
      <c r="H26" s="11">
        <f>H25/H9</f>
        <v>0.27048</v>
      </c>
      <c r="I26" s="11">
        <f>I25/I9</f>
        <v>0.27047999999999994</v>
      </c>
      <c r="J26" s="11">
        <f>J25/J9</f>
        <v>0.27048</v>
      </c>
      <c r="K26" s="11">
        <f>K25/K9</f>
        <v>0.27048</v>
      </c>
      <c r="L26" s="11">
        <f>L25/L9</f>
        <v>0.27468000000000004</v>
      </c>
      <c r="M26" s="11">
        <f>M25/M9</f>
        <v>0.27468000000000004</v>
      </c>
      <c r="N26" s="11">
        <f>N25/N9</f>
        <v>0.27468</v>
      </c>
      <c r="O26" s="11">
        <f>O25/O9</f>
        <v>0.27468</v>
      </c>
      <c r="P26" s="11">
        <f>P25/P9</f>
        <v>0.27468</v>
      </c>
    </row>
    <row r="27" spans="1:1" x14ac:dyDescent="0.25">
      <c r="A27" s="7"/>
    </row>
    <row r="28" spans="1:16" x14ac:dyDescent="0.25">
      <c r="A28" s="7" t="s">
        <v>50</v>
      </c>
      <c r="B28" s="12">
        <v>14810.356</v>
      </c>
      <c r="C28" s="12">
        <v>14715.42</v>
      </c>
      <c r="D28" s="12">
        <v>14747.03</v>
      </c>
      <c r="E28" s="12">
        <v>14650</v>
      </c>
      <c r="F28" s="12">
        <f>AVERAGE(B28:E28)</f>
        <v>14730.7015</v>
      </c>
      <c r="G28" s="12">
        <f>B28*(1+$C$41)</f>
        <v>14514.148879999999</v>
      </c>
      <c r="H28" s="12">
        <f>C28*(1+$C$41)</f>
        <v>14421.1116</v>
      </c>
      <c r="I28" s="12">
        <f>D28*(1+$C$41)</f>
        <v>14452.0894</v>
      </c>
      <c r="J28" s="12">
        <f>E28*(1+$C$41)</f>
        <v>14357</v>
      </c>
      <c r="K28" s="12">
        <f>AVERAGE(G28:J28)</f>
        <v>14436.087469999999</v>
      </c>
      <c r="L28" s="12">
        <f>G28*(1+$D$41)</f>
        <v>14223.865902399999</v>
      </c>
      <c r="M28" s="12">
        <f>H28*(1+$D$41)</f>
        <v>14132.689368</v>
      </c>
      <c r="N28" s="12">
        <f>I28*(1+$D$41)</f>
        <v>14163.047612</v>
      </c>
      <c r="O28" s="12">
        <f>J28*(1+$D$41)</f>
        <v>14069.86</v>
      </c>
      <c r="P28" s="12">
        <f>AVERAGE(L28:O28)</f>
        <v>14147.3657206</v>
      </c>
    </row>
    <row r="29" spans="1:16" x14ac:dyDescent="0.25">
      <c r="A29" s="7" t="s">
        <v>51</v>
      </c>
      <c r="B29" s="13">
        <f>B25/B28</f>
        <v>2.842402978024296</v>
      </c>
      <c r="C29" s="13">
        <f>C25/C28</f>
        <v>2.010000394144374</v>
      </c>
      <c r="D29" s="13">
        <f>D25/D28</f>
        <v>2.0199999593138416</v>
      </c>
      <c r="E29" s="13">
        <f>E25/E28</f>
        <v>2.0214409556313995</v>
      </c>
      <c r="F29" s="13">
        <f>F25/F28</f>
        <v>8.898293811737343</v>
      </c>
      <c r="G29" s="13">
        <f>G25/G28</f>
        <v>2.878871143948194</v>
      </c>
      <c r="H29" s="13">
        <f>H25/H28</f>
        <v>2.251138422144934</v>
      </c>
      <c r="I29" s="13">
        <f>I25/I28</f>
        <v>2.210947899339731</v>
      </c>
      <c r="J29" s="13">
        <f>J25/J28</f>
        <v>2.2917566744027305</v>
      </c>
      <c r="K29" s="13">
        <f>K25/K28</f>
        <v>9.635841453986426</v>
      </c>
      <c r="L29" s="13">
        <f>L25/L28</f>
        <v>3.1964370453194832</v>
      </c>
      <c r="M29" s="13">
        <f>M25/M28</f>
        <v>2.51207331033047</v>
      </c>
      <c r="N29" s="13">
        <f>N25/N28</f>
        <v>2.4676362319228784</v>
      </c>
      <c r="O29" s="13">
        <f>O25/O28</f>
        <v>2.556746644044219</v>
      </c>
      <c r="P29" s="13">
        <f>P25/P28</f>
        <v>10.736299848420275</v>
      </c>
    </row>
    <row r="32" spans="1:1" x14ac:dyDescent="0.25">
      <c r="A32" s="14" t="s">
        <v>52</v>
      </c>
    </row>
    <row r="33" spans="1:4" x14ac:dyDescent="0.25">
      <c r="B33" s="15" t="s">
        <v>53</v>
      </c>
      <c r="C33" s="15" t="s">
        <v>26</v>
      </c>
      <c r="D33" s="15" t="s">
        <v>31</v>
      </c>
    </row>
    <row r="34" spans="1:4" x14ac:dyDescent="0.25">
      <c r="A34" t="s">
        <v>54</v>
      </c>
      <c r="C34">
        <v>0.06</v>
      </c>
      <c r="D34">
        <v>0.055</v>
      </c>
    </row>
    <row r="35" spans="1:4" x14ac:dyDescent="0.25">
      <c r="A35" t="s">
        <v>55</v>
      </c>
      <c r="C35">
        <v>0.13</v>
      </c>
      <c r="D35">
        <v>0.13</v>
      </c>
    </row>
    <row r="36" spans="1:4" x14ac:dyDescent="0.25">
      <c r="A36" t="s">
        <v>56</v>
      </c>
      <c r="C36">
        <v>0.48</v>
      </c>
      <c r="D36">
        <v>0.483</v>
      </c>
    </row>
    <row r="37" spans="1:4" x14ac:dyDescent="0.25">
      <c r="A37" t="s">
        <v>57</v>
      </c>
      <c r="C37">
        <v>0.158</v>
      </c>
      <c r="D37">
        <v>0.156</v>
      </c>
    </row>
    <row r="38" spans="1:4" x14ac:dyDescent="0.25">
      <c r="A38" t="s">
        <v>58</v>
      </c>
      <c r="C38" s="11">
        <v>0.592</v>
      </c>
      <c r="D38" s="11">
        <v>0.592</v>
      </c>
    </row>
    <row r="39" spans="1:4" x14ac:dyDescent="0.25">
      <c r="A39" t="s">
        <v>59</v>
      </c>
      <c r="C39" s="8">
        <v>0</v>
      </c>
      <c r="D39" s="8">
        <v>0</v>
      </c>
    </row>
    <row r="40" spans="1:4" x14ac:dyDescent="0.25">
      <c r="A40" t="s">
        <v>60</v>
      </c>
      <c r="B40" s="11">
        <v>0.165</v>
      </c>
      <c r="C40">
        <v>0.16</v>
      </c>
      <c r="D40">
        <v>0.16</v>
      </c>
    </row>
    <row r="41" spans="1:4" x14ac:dyDescent="0.25">
      <c r="A41" t="s">
        <v>61</v>
      </c>
      <c r="C41">
        <v>-0.02</v>
      </c>
      <c r="D41">
        <v>-0.02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2026-08-17T17:28:32Z</dcterms:created>
  <dcterms:modified xsi:type="dcterms:W3CDTF">2026-08-17T17:28:32Z</dcterms:modified>
</cp:coreProperties>
</file>