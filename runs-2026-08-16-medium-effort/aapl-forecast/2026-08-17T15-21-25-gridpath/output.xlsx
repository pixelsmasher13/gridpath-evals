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C21" authorId="0">
      <text>
        <r>
          <t>Q2 FY2026A: Net sales, net income ($29.58B), tax ($6,255M) and diluted EPS ($2.01) are sourced from Apple's Q2 FY26 10-Q/press release. COGS and the R&amp;D/SG&amp;A split are derived/interpolated to tie to the reported net income, as the exact filed line-item breakdown was not independently retrieved.</t>
        </r>
      </text>
    </comment>
    <comment ref="E21" authorId="0">
      <text>
        <r>
          <t>Q4 FY2026E is guidance-driven: revenue growth, gross margin, and OpEx use Apple's Q3 FY26 earnings call guidance (9-11% YoY growth, 47-48% gross margin, $19.1-19.4B OpEx); midpoints used. See Assumptions block B5:B18.</t>
        </r>
      </text>
    </comment>
    <comment ref="G21" authorId="0">
      <text>
        <r>
          <t>FY2027E-FY2028E quarters are modeled: annual revenue/OpEx grow off the prior FY total per the assumption cells, then are allocated to quarters using the prior fiscal year's actual seasonality mix (Q4 is a plug to tie exactly to the annual total). Gross margin %, tax rate, other income, and share count are assumption-driven. Adjust B9:B18 to run different scenarios.</t>
        </r>
      </text>
    </comment>
  </commentList>
</comments>
</file>

<file path=xl/sharedStrings.xml><?xml version="1.0" encoding="utf-8"?>
<sst xmlns="http://schemas.openxmlformats.org/spreadsheetml/2006/main" count="51" uniqueCount="51">
  <si>
    <t>Apple Inc. (AAPL) — Income Statement Forecast, FY2026E–FY2028E (Quarterly)</t>
  </si>
  <si>
    <t>$ in millions, except per-share data. Fiscal year ends last Saturday of September. A = Actual (10-Q/10-K), E = Estimate.</t>
  </si>
  <si>
    <t>Key Assumptions &amp; Drivers</t>
  </si>
  <si>
    <t>Q4 FY2025A Revenue (base for Q4 FY26E guided growth)</t>
  </si>
  <si>
    <t>Q4 FY2026E Revenue Growth (guided, YoY)</t>
  </si>
  <si>
    <t>Q4 FY2026E Gross Margin % (guided)</t>
  </si>
  <si>
    <t>Q4 FY2026E Total Operating Expenses ($mm, guided)</t>
  </si>
  <si>
    <t>FY2027E Total Revenue Growth (YoY)</t>
  </si>
  <si>
    <t>FY2028E Total Revenue Growth (YoY)</t>
  </si>
  <si>
    <t>FY2027E Gross Margin %</t>
  </si>
  <si>
    <t>FY2028E Gross Margin %</t>
  </si>
  <si>
    <t>FY2027E Total OpEx Growth (YoY)</t>
  </si>
  <si>
    <t>FY2028E Total OpEx Growth (YoY)</t>
  </si>
  <si>
    <t>R&amp;D as % of Total OpEx (held flat vs. recent actual)</t>
  </si>
  <si>
    <t>Effective Tax Rate (Q4 FY26E, FY27E-FY28E)</t>
  </si>
  <si>
    <t>Other Income/(Expense), net per quarter FY27E-FY28E ($mm)</t>
  </si>
  <si>
    <t>Annual Diluted Share Count Reduction (buybacks)</t>
  </si>
  <si>
    <t>($ in millions, except per-share data)</t>
  </si>
  <si>
    <t>Q1 FY26A</t>
  </si>
  <si>
    <t>Q2 FY26A</t>
  </si>
  <si>
    <t>Q3 FY26A</t>
  </si>
  <si>
    <t>Q4 FY26E</t>
  </si>
  <si>
    <t>FY2026E Total</t>
  </si>
  <si>
    <t>Q1 FY27E</t>
  </si>
  <si>
    <t>Q2 FY27E</t>
  </si>
  <si>
    <t>Q3 FY27E</t>
  </si>
  <si>
    <t>Q4 FY27E</t>
  </si>
  <si>
    <t>FY2027E Total</t>
  </si>
  <si>
    <t>Q1 FY28E</t>
  </si>
  <si>
    <t>Q2 FY28E</t>
  </si>
  <si>
    <t>Q3 FY28E</t>
  </si>
  <si>
    <t>Q4 FY28E</t>
  </si>
  <si>
    <t>FY2028E Total</t>
  </si>
  <si>
    <t>Total Net Sales</t>
  </si>
  <si>
    <t xml:space="preserve">  YoY Growth %</t>
  </si>
  <si>
    <t>Cost of Sales</t>
  </si>
  <si>
    <t>Gross Margin ($)</t>
  </si>
  <si>
    <t xml:space="preserve">  Gross Margin (%)</t>
  </si>
  <si>
    <t>Research &amp; Development</t>
  </si>
  <si>
    <t>Selling, General &amp; Administrative</t>
  </si>
  <si>
    <t>Total Operating Expenses</t>
  </si>
  <si>
    <t>Operating Income</t>
  </si>
  <si>
    <t xml:space="preserve">  Operating Margin (%)</t>
  </si>
  <si>
    <t>Other Income/(Expense), net</t>
  </si>
  <si>
    <t>Income Before Taxes</t>
  </si>
  <si>
    <t>Provision for Income Taxes</t>
  </si>
  <si>
    <t xml:space="preserve">  Effective Tax Rate (%)</t>
  </si>
  <si>
    <t>Net Income</t>
  </si>
  <si>
    <t xml:space="preserve">  Net Margin (%)</t>
  </si>
  <si>
    <t>Diluted EPS ($)</t>
  </si>
  <si>
    <t>Diluted Weighted-Avg Shares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</si>
</sst>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;(#,##0);-"/>
    <numFmt numFmtId="165" formatCode="0.0%"/>
    <numFmt numFmtId="166" formatCode="0.0%;(0.0%);-"/>
    <numFmt numFmtId="167" formatCode="$#,##0.00;($#,##0.00);-"/>
    <numFmt numFmtId="168" formatCode="#,##0.0;(#,##0.0);-"/>
  </numFmts>
  <fonts count="12" x14ac:knownFonts="1">
    <font>
      <color theme="1"/>
      <family val="2"/>
      <scheme val="minor"/>
      <sz val="11"/>
      <name val="Calibri"/>
    </font>
    <font>
      <b/>
      <sz val="14"/>
    </font>
    <font>
      <i/>
      <color rgb="FF555555"/>
      <sz val="9"/>
    </font>
    <font>
      <b/>
      <color rgb="FFFFFFFF"/>
    </font>
    <font>
      <sz val="10"/>
    </font>
    <font>
      <color rgb="FF0000FF"/>
      <sz val="10"/>
    </font>
    <font>
      <b/>
    </font>
    <font>
      <b/>
      <sz val="10"/>
    </font>
    <font>
      <b/>
      <color rgb="FF0000FF"/>
    </font>
    <font>
      <i/>
      <color rgb="FF555555"/>
    </font>
    <font>
      <i/>
      <color rgb="FF0000FF"/>
    </font>
    <font>
      <color rgb="FF0000FF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B4C6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164" fontId="5" fillId="0" borderId="0" xfId="0" applyNumberFormat="1" applyFont="1"/>
    <xf numFmtId="165" fontId="5" fillId="0" borderId="0" xfId="0" applyNumberFormat="1" applyFont="1"/>
    <xf numFmtId="0" fontId="6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0" xfId="0" applyFont="1"/>
    <xf numFmtId="164" fontId="6" fillId="0" borderId="0" xfId="0" applyNumberFormat="1" applyFont="1"/>
    <xf numFmtId="164" fontId="8" fillId="0" borderId="0" xfId="0" applyNumberFormat="1" applyFont="1"/>
    <xf numFmtId="166" fontId="9" fillId="0" borderId="0" xfId="0" applyNumberFormat="1" applyFont="1"/>
    <xf numFmtId="166" fontId="10" fillId="0" borderId="0" xfId="0" applyNumberFormat="1" applyFont="1"/>
    <xf numFmtId="0" fontId="11" fillId="0" borderId="0" xfId="0" applyFont="1"/>
    <xf numFmtId="164" fontId="0" fillId="0" borderId="0" xfId="0" applyNumberFormat="1"/>
    <xf numFmtId="164" fontId="11" fillId="0" borderId="0" xfId="0" applyNumberFormat="1" applyFont="1"/>
    <xf numFmtId="167" fontId="6" fillId="0" borderId="0" xfId="0" applyNumberFormat="1" applyFont="1"/>
    <xf numFmtId="167" fontId="8" fillId="0" borderId="0" xfId="0" applyNumberFormat="1" applyFont="1"/>
    <xf numFmtId="168" fontId="0" fillId="0" borderId="0" xfId="0" applyNumberFormat="1"/>
    <xf numFmtId="168" fontId="1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workbookViewId="0">
      <pane xSplit="1" ySplit="20" topLeftCell="B21" activePane="bottomRight" state="frozen"/>
      <selection pane="bottomRight"/>
    </sheetView>
  </sheetViews>
  <sheetFormatPr defaultRowHeight="15" outlineLevelRow="0" outlineLevelCol="0" x14ac:dyDescent="55"/>
  <cols>
    <col min="1" max="1" width="42.142857142857146" customWidth="1"/>
    <col min="2" max="5" width="11.428571428571429" customWidth="1"/>
    <col min="6" max="6" width="12.857142857142858" customWidth="1"/>
    <col min="7" max="10" width="11.428571428571429" customWidth="1"/>
    <col min="11" max="11" width="12.857142857142858" customWidth="1"/>
    <col min="12" max="15" width="11.428571428571429" customWidth="1"/>
    <col min="16" max="16" width="12.85714285714285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16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2" x14ac:dyDescent="0.25">
      <c r="A5" s="5" t="s">
        <v>3</v>
      </c>
      <c r="B5" s="6">
        <v>102465</v>
      </c>
    </row>
    <row r="6" spans="1:2" x14ac:dyDescent="0.25">
      <c r="A6" s="5" t="s">
        <v>4</v>
      </c>
      <c r="B6" s="7">
        <v>0.1</v>
      </c>
    </row>
    <row r="7" spans="1:2" x14ac:dyDescent="0.25">
      <c r="A7" s="5" t="s">
        <v>5</v>
      </c>
      <c r="B7" s="7">
        <v>0.475</v>
      </c>
    </row>
    <row r="8" spans="1:2" x14ac:dyDescent="0.25">
      <c r="A8" s="5" t="s">
        <v>6</v>
      </c>
      <c r="B8" s="6">
        <v>19250</v>
      </c>
    </row>
    <row r="9" spans="1:2" x14ac:dyDescent="0.25">
      <c r="A9" s="5" t="s">
        <v>7</v>
      </c>
      <c r="B9" s="7">
        <v>0.08</v>
      </c>
    </row>
    <row r="10" spans="1:2" x14ac:dyDescent="0.25">
      <c r="A10" s="5" t="s">
        <v>8</v>
      </c>
      <c r="B10" s="7">
        <v>0.065</v>
      </c>
    </row>
    <row r="11" spans="1:2" x14ac:dyDescent="0.25">
      <c r="A11" s="5" t="s">
        <v>9</v>
      </c>
      <c r="B11" s="7">
        <v>0.488</v>
      </c>
    </row>
    <row r="12" spans="1:2" x14ac:dyDescent="0.25">
      <c r="A12" s="5" t="s">
        <v>10</v>
      </c>
      <c r="B12" s="7">
        <v>0.49</v>
      </c>
    </row>
    <row r="13" spans="1:2" x14ac:dyDescent="0.25">
      <c r="A13" s="5" t="s">
        <v>11</v>
      </c>
      <c r="B13" s="7">
        <v>0.09</v>
      </c>
    </row>
    <row r="14" spans="1:2" x14ac:dyDescent="0.25">
      <c r="A14" s="5" t="s">
        <v>12</v>
      </c>
      <c r="B14" s="7">
        <v>0.07</v>
      </c>
    </row>
    <row r="15" spans="1:2" x14ac:dyDescent="0.25">
      <c r="A15" s="5" t="s">
        <v>13</v>
      </c>
      <c r="B15" s="7">
        <v>0.615</v>
      </c>
    </row>
    <row r="16" spans="1:2" x14ac:dyDescent="0.25">
      <c r="A16" s="5" t="s">
        <v>14</v>
      </c>
      <c r="B16" s="7">
        <v>0.175</v>
      </c>
    </row>
    <row r="17" spans="1:2" x14ac:dyDescent="0.25">
      <c r="A17" s="5" t="s">
        <v>15</v>
      </c>
      <c r="B17" s="6">
        <v>300</v>
      </c>
    </row>
    <row r="18" spans="1:2" x14ac:dyDescent="0.25">
      <c r="A18" s="5" t="s">
        <v>16</v>
      </c>
      <c r="B18" s="7">
        <v>0.015</v>
      </c>
    </row>
    <row r="20" spans="1:16" x14ac:dyDescent="0.25">
      <c r="A20" s="8" t="s">
        <v>17</v>
      </c>
      <c r="B20" s="8" t="s">
        <v>18</v>
      </c>
      <c r="C20" s="8" t="s">
        <v>19</v>
      </c>
      <c r="D20" s="8" t="s">
        <v>20</v>
      </c>
      <c r="E20" s="8" t="s">
        <v>21</v>
      </c>
      <c r="F20" s="9" t="s">
        <v>22</v>
      </c>
      <c r="G20" s="8" t="s">
        <v>23</v>
      </c>
      <c r="H20" s="8" t="s">
        <v>24</v>
      </c>
      <c r="I20" s="8" t="s">
        <v>25</v>
      </c>
      <c r="J20" s="8" t="s">
        <v>26</v>
      </c>
      <c r="K20" s="9" t="s">
        <v>27</v>
      </c>
      <c r="L20" s="8" t="s">
        <v>28</v>
      </c>
      <c r="M20" s="8" t="s">
        <v>29</v>
      </c>
      <c r="N20" s="8" t="s">
        <v>30</v>
      </c>
      <c r="O20" s="8" t="s">
        <v>31</v>
      </c>
      <c r="P20" s="9" t="s">
        <v>32</v>
      </c>
    </row>
    <row r="21" spans="1:16" x14ac:dyDescent="0.25">
      <c r="A21" s="10" t="s">
        <v>33</v>
      </c>
      <c r="B21" s="11">
        <v>143756</v>
      </c>
      <c r="C21" s="11">
        <v>111184</v>
      </c>
      <c r="D21" s="11">
        <v>109417</v>
      </c>
      <c r="E21" s="12">
        <f>$B$5*(1+$B$6)</f>
        <v>112711.50000000001</v>
      </c>
      <c r="F21" s="11">
        <f>SUM(B21:E21)</f>
        <v>477068.5</v>
      </c>
      <c r="G21" s="11">
        <f>K21*(B21/F21)</f>
        <v>155256.48</v>
      </c>
      <c r="H21" s="11">
        <f>K21*(C21/F21)</f>
        <v>120078.72000000002</v>
      </c>
      <c r="I21" s="11">
        <f>K21*(D21/F21)</f>
        <v>118170.36</v>
      </c>
      <c r="J21" s="11">
        <f>K21-G21-H21-I21</f>
        <v>121728.41999999997</v>
      </c>
      <c r="K21" s="11">
        <f>F21*(1+$B$9)</f>
        <v>515233.98000000004</v>
      </c>
      <c r="L21" s="11">
        <f>P21*(G21/K21)</f>
        <v>165348.15120000002</v>
      </c>
      <c r="M21" s="11">
        <f>P21*(H21/K21)</f>
        <v>127883.83680000002</v>
      </c>
      <c r="N21" s="11">
        <f>P21*(I21/K21)</f>
        <v>125851.43340000001</v>
      </c>
      <c r="O21" s="11">
        <f>P21-L21-M21-N21</f>
        <v>129640.7673</v>
      </c>
      <c r="P21" s="11">
        <f>K21*(1+$B$10)</f>
        <v>548724.1887</v>
      </c>
    </row>
    <row r="22" spans="1:16" x14ac:dyDescent="0.25">
      <c r="A22" s="5" t="s">
        <v>34</v>
      </c>
      <c r="B22" s="13"/>
      <c r="C22" s="13"/>
      <c r="D22" s="13"/>
      <c r="E22" s="14"/>
      <c r="F22" s="13"/>
      <c r="G22" s="13">
        <f>G21/B21-1</f>
        <v>0.08000000000000007</v>
      </c>
      <c r="H22" s="13">
        <f>H21/C21-1</f>
        <v>0.08000000000000007</v>
      </c>
      <c r="I22" s="13">
        <f>I21/D21-1</f>
        <v>0.08000000000000007</v>
      </c>
      <c r="J22" s="13">
        <f>J21/E21-1</f>
        <v>0.07999999999999963</v>
      </c>
      <c r="K22" s="13">
        <f>K21/F21-1</f>
        <v>0.08000000000000007</v>
      </c>
      <c r="L22" s="13">
        <f>L21/G21-1</f>
        <v>0.06500000000000017</v>
      </c>
      <c r="M22" s="13">
        <f>M21/H21-1</f>
        <v>0.06499999999999995</v>
      </c>
      <c r="N22" s="13">
        <f>N21/I21-1</f>
        <v>0.06500000000000017</v>
      </c>
      <c r="O22" s="13">
        <f>O21/J21-1</f>
        <v>0.06500000000000039</v>
      </c>
      <c r="P22" s="13">
        <f>P21/K21-1</f>
        <v>0.06499999999999995</v>
      </c>
    </row>
    <row r="23" spans="1:5" x14ac:dyDescent="0.25">
      <c r="A23" s="5"/>
      <c r="E23" s="15"/>
    </row>
    <row r="24" spans="1:16" x14ac:dyDescent="0.25">
      <c r="A24" s="5" t="s">
        <v>35</v>
      </c>
      <c r="B24" s="16">
        <v>74525</v>
      </c>
      <c r="C24" s="16">
        <v>56350</v>
      </c>
      <c r="D24" s="16">
        <v>54647</v>
      </c>
      <c r="E24" s="17">
        <f>E21-E25</f>
        <v>59173.53750000001</v>
      </c>
      <c r="F24" s="16">
        <f>SUM(B24:E24)</f>
        <v>244695.5375</v>
      </c>
      <c r="G24" s="16">
        <f>G21-G25</f>
        <v>79491.31776</v>
      </c>
      <c r="H24" s="16">
        <f>H21-H25</f>
        <v>61480.30464000001</v>
      </c>
      <c r="I24" s="16">
        <f>I21-I25</f>
        <v>60503.22432</v>
      </c>
      <c r="J24" s="16">
        <f>J21-J25</f>
        <v>62324.951039999985</v>
      </c>
      <c r="K24" s="16">
        <f>SUM(G24:J24)</f>
        <v>263799.79776</v>
      </c>
      <c r="L24" s="16">
        <f>L21-L25</f>
        <v>84327.55711200001</v>
      </c>
      <c r="M24" s="16">
        <f>M21-M25</f>
        <v>65220.756768000014</v>
      </c>
      <c r="N24" s="16">
        <f>N21-N25</f>
        <v>64184.231034000004</v>
      </c>
      <c r="O24" s="16">
        <f>O21-O25</f>
        <v>66116.79132300001</v>
      </c>
      <c r="P24" s="16">
        <f>SUM(L24:O24)</f>
        <v>279849.33623700007</v>
      </c>
    </row>
    <row r="25" spans="1:16" x14ac:dyDescent="0.25">
      <c r="A25" s="5" t="s">
        <v>36</v>
      </c>
      <c r="B25" s="16">
        <f>B21-B24</f>
        <v>69231</v>
      </c>
      <c r="C25" s="16">
        <f>C21-C24</f>
        <v>54834</v>
      </c>
      <c r="D25" s="16">
        <f>D21-D24</f>
        <v>54770</v>
      </c>
      <c r="E25" s="17">
        <f>E21*E26</f>
        <v>53537.9625</v>
      </c>
      <c r="F25" s="16">
        <f>SUM(B25:E25)</f>
        <v>232372.9625</v>
      </c>
      <c r="G25" s="16">
        <f>G21*G26</f>
        <v>75765.16224</v>
      </c>
      <c r="H25" s="16">
        <f>H21*H26</f>
        <v>58598.415360000006</v>
      </c>
      <c r="I25" s="16">
        <f>I21*I26</f>
        <v>57667.13568</v>
      </c>
      <c r="J25" s="16">
        <f>J21*J26</f>
        <v>59403.468959999984</v>
      </c>
      <c r="K25" s="16">
        <f>SUM(G25:J25)</f>
        <v>251434.18224</v>
      </c>
      <c r="L25" s="16">
        <f>L21*L26</f>
        <v>81020.59408800001</v>
      </c>
      <c r="M25" s="16">
        <f>M21*M26</f>
        <v>62663.080032000005</v>
      </c>
      <c r="N25" s="16">
        <f>N21*N26</f>
        <v>61667.202366000005</v>
      </c>
      <c r="O25" s="16">
        <f>O21*O26</f>
        <v>63523.975977</v>
      </c>
      <c r="P25" s="16">
        <f>SUM(L25:O25)</f>
        <v>268874.85246300005</v>
      </c>
    </row>
    <row r="26" spans="1:16" x14ac:dyDescent="0.25">
      <c r="A26" s="5" t="s">
        <v>37</v>
      </c>
      <c r="B26" s="13">
        <f>B25/B21</f>
        <v>0.4815868555051615</v>
      </c>
      <c r="C26" s="13">
        <f>C25/C21</f>
        <v>0.4931824722981724</v>
      </c>
      <c r="D26" s="13">
        <f>D25/D21</f>
        <v>0.500562069879452</v>
      </c>
      <c r="E26" s="14">
        <f>$B$7</f>
        <v>0.475</v>
      </c>
      <c r="F26" s="13">
        <f>F25/F21</f>
        <v>0.4870851093710861</v>
      </c>
      <c r="G26" s="13">
        <f>$B$11</f>
        <v>0.488</v>
      </c>
      <c r="H26" s="13">
        <f>$B$11</f>
        <v>0.488</v>
      </c>
      <c r="I26" s="13">
        <f>$B$11</f>
        <v>0.488</v>
      </c>
      <c r="J26" s="13">
        <f>$B$11</f>
        <v>0.488</v>
      </c>
      <c r="K26" s="13">
        <f>K25/K21</f>
        <v>0.48799999999999993</v>
      </c>
      <c r="L26" s="13">
        <f>$B$12</f>
        <v>0.49</v>
      </c>
      <c r="M26" s="13">
        <f>$B$12</f>
        <v>0.49</v>
      </c>
      <c r="N26" s="13">
        <f>$B$12</f>
        <v>0.49</v>
      </c>
      <c r="O26" s="13">
        <f>$B$12</f>
        <v>0.49</v>
      </c>
      <c r="P26" s="13">
        <f>P25/P21</f>
        <v>0.49000000000000005</v>
      </c>
    </row>
    <row r="27" spans="1:5" x14ac:dyDescent="0.25">
      <c r="A27" s="5"/>
      <c r="E27" s="15"/>
    </row>
    <row r="28" spans="1:16" x14ac:dyDescent="0.25">
      <c r="A28" s="5" t="s">
        <v>38</v>
      </c>
      <c r="B28" s="16">
        <v>10887</v>
      </c>
      <c r="C28" s="16">
        <v>11549</v>
      </c>
      <c r="D28" s="16">
        <v>11729</v>
      </c>
      <c r="E28" s="17">
        <f>E30*$B$15</f>
        <v>11838.75</v>
      </c>
      <c r="F28" s="16">
        <f>SUM(B28:E28)</f>
        <v>46003.75</v>
      </c>
      <c r="G28" s="16">
        <f>G30*$B$15</f>
        <v>12320.362650000001</v>
      </c>
      <c r="H28" s="16">
        <f>H30*$B$15</f>
        <v>12837.2025</v>
      </c>
      <c r="I28" s="16">
        <f>I30*$B$15</f>
        <v>12786.926250000002</v>
      </c>
      <c r="J28" s="16">
        <f>J30*$B$15</f>
        <v>12904.237499999997</v>
      </c>
      <c r="K28" s="16">
        <f>SUM(G28:J28)</f>
        <v>50848.7289</v>
      </c>
      <c r="L28" s="16">
        <f>L30*$B$15</f>
        <v>13182.7880355</v>
      </c>
      <c r="M28" s="16">
        <f>M30*$B$15</f>
        <v>13735.806674999998</v>
      </c>
      <c r="N28" s="16">
        <f>N30*$B$15</f>
        <v>13682.011087500001</v>
      </c>
      <c r="O28" s="16">
        <f>O30*$B$15</f>
        <v>13807.534125</v>
      </c>
      <c r="P28" s="16">
        <f>SUM(L28:O28)</f>
        <v>54408.139922999995</v>
      </c>
    </row>
    <row r="29" spans="1:16" x14ac:dyDescent="0.25">
      <c r="A29" s="5" t="s">
        <v>39</v>
      </c>
      <c r="B29" s="16">
        <v>7492</v>
      </c>
      <c r="C29" s="16">
        <v>7601</v>
      </c>
      <c r="D29" s="16">
        <v>7346</v>
      </c>
      <c r="E29" s="17">
        <f>E30-E28</f>
        <v>7411.25</v>
      </c>
      <c r="F29" s="16">
        <f>SUM(B29:E29)</f>
        <v>29850.25</v>
      </c>
      <c r="G29" s="16">
        <f>G30-G28</f>
        <v>7712.74735</v>
      </c>
      <c r="H29" s="16">
        <f>H30-H28</f>
        <v>8036.297500000001</v>
      </c>
      <c r="I29" s="16">
        <f>I30-I28</f>
        <v>8004.823750000001</v>
      </c>
      <c r="J29" s="16">
        <f>J30-J28</f>
        <v>8078.262499999999</v>
      </c>
      <c r="K29" s="16">
        <f>SUM(G29:J29)</f>
        <v>31832.1311</v>
      </c>
      <c r="L29" s="16">
        <f>L30-L28</f>
        <v>8252.6396645</v>
      </c>
      <c r="M29" s="16">
        <f>M30-M28</f>
        <v>8598.838324999999</v>
      </c>
      <c r="N29" s="16">
        <f>N30-N28</f>
        <v>8565.1614125</v>
      </c>
      <c r="O29" s="16">
        <f>O30-O28</f>
        <v>8643.740875000001</v>
      </c>
      <c r="P29" s="16">
        <f>SUM(L29:O29)</f>
        <v>34060.380277000004</v>
      </c>
    </row>
    <row r="30" spans="1:16" x14ac:dyDescent="0.25">
      <c r="A30" s="5" t="s">
        <v>40</v>
      </c>
      <c r="B30" s="16">
        <f>B28+B29</f>
        <v>18379</v>
      </c>
      <c r="C30" s="16">
        <f>C28+C29</f>
        <v>19150</v>
      </c>
      <c r="D30" s="16">
        <f>D28+D29</f>
        <v>19075</v>
      </c>
      <c r="E30" s="17">
        <f>$B$8</f>
        <v>19250</v>
      </c>
      <c r="F30" s="16">
        <f>SUM(B30:E30)</f>
        <v>75854</v>
      </c>
      <c r="G30" s="16">
        <f>K30*(B30/F30)</f>
        <v>20033.11</v>
      </c>
      <c r="H30" s="16">
        <f>K30*(C30/F30)</f>
        <v>20873.5</v>
      </c>
      <c r="I30" s="16">
        <f>K30*(D30/F30)</f>
        <v>20791.750000000004</v>
      </c>
      <c r="J30" s="16">
        <f>K30-G30-H30-I30</f>
        <v>20982.499999999996</v>
      </c>
      <c r="K30" s="16">
        <f>F30*(1+$B$13)</f>
        <v>82680.86</v>
      </c>
      <c r="L30" s="16">
        <f>P30*(G30/K30)</f>
        <v>21435.4277</v>
      </c>
      <c r="M30" s="16">
        <f>P30*(H30/K30)</f>
        <v>22334.644999999997</v>
      </c>
      <c r="N30" s="16">
        <f>P30*(I30/K30)</f>
        <v>22247.1725</v>
      </c>
      <c r="O30" s="16">
        <f>P30-L30-M30-N30</f>
        <v>22451.275</v>
      </c>
      <c r="P30" s="16">
        <f>K30*(1+$B$14)</f>
        <v>88468.5202</v>
      </c>
    </row>
    <row r="31" spans="1:16" x14ac:dyDescent="0.25">
      <c r="A31" s="10" t="s">
        <v>41</v>
      </c>
      <c r="B31" s="11">
        <f>B25-B30</f>
        <v>50852</v>
      </c>
      <c r="C31" s="11">
        <f>C25-C30</f>
        <v>35684</v>
      </c>
      <c r="D31" s="11">
        <f>D25-D30</f>
        <v>35695</v>
      </c>
      <c r="E31" s="12">
        <f>E25-E30</f>
        <v>34287.9625</v>
      </c>
      <c r="F31" s="11">
        <f>SUM(B31:E31)</f>
        <v>156518.9625</v>
      </c>
      <c r="G31" s="11">
        <f>G25-G30</f>
        <v>55732.052240000005</v>
      </c>
      <c r="H31" s="11">
        <f>H25-H30</f>
        <v>37724.915360000006</v>
      </c>
      <c r="I31" s="11">
        <f>I25-I30</f>
        <v>36875.38567999999</v>
      </c>
      <c r="J31" s="11">
        <f>J25-J30</f>
        <v>38420.968959999984</v>
      </c>
      <c r="K31" s="11">
        <f>SUM(G31:J31)</f>
        <v>168753.32223999998</v>
      </c>
      <c r="L31" s="11">
        <f>L25-L30</f>
        <v>59585.16638800001</v>
      </c>
      <c r="M31" s="11">
        <f>M25-M30</f>
        <v>40328.43503200001</v>
      </c>
      <c r="N31" s="11">
        <f>N25-N30</f>
        <v>39420.029866000004</v>
      </c>
      <c r="O31" s="11">
        <f>O25-O30</f>
        <v>41072.700977</v>
      </c>
      <c r="P31" s="11">
        <f>SUM(L31:O31)</f>
        <v>180406.33226300002</v>
      </c>
    </row>
    <row r="32" spans="1:16" x14ac:dyDescent="0.25">
      <c r="A32" s="5" t="s">
        <v>42</v>
      </c>
      <c r="B32" s="13">
        <f>B31/B21</f>
        <v>0.35373827875010433</v>
      </c>
      <c r="C32" s="13">
        <f>C31/C21</f>
        <v>0.3209454597783854</v>
      </c>
      <c r="D32" s="13">
        <f>D31/D21</f>
        <v>0.3262290137729969</v>
      </c>
      <c r="E32" s="14">
        <f>E31/E21</f>
        <v>0.30420997413751033</v>
      </c>
      <c r="F32" s="13">
        <f>F31/F21</f>
        <v>0.3280848819404341</v>
      </c>
      <c r="G32" s="13">
        <f>G31/G21</f>
        <v>0.35896764012684046</v>
      </c>
      <c r="H32" s="13">
        <f>H31/H21</f>
        <v>0.314168200327252</v>
      </c>
      <c r="I32" s="13">
        <f>I31/I21</f>
        <v>0.31205274892959617</v>
      </c>
      <c r="J32" s="13">
        <f>J31/J21</f>
        <v>0.3156285850091539</v>
      </c>
      <c r="K32" s="13">
        <f>K31/K21</f>
        <v>0.3275275482412863</v>
      </c>
      <c r="L32" s="13">
        <f>L31/L21</f>
        <v>0.36036185439973645</v>
      </c>
      <c r="M32" s="13">
        <f>M31/M21</f>
        <v>0.3153520885916992</v>
      </c>
      <c r="N32" s="13">
        <f>N31/N21</f>
        <v>0.31322670549734083</v>
      </c>
      <c r="O32" s="13">
        <f>O31/O21</f>
        <v>0.31681932953971337</v>
      </c>
      <c r="P32" s="13">
        <f>P31/P21</f>
        <v>0.328774156448992</v>
      </c>
    </row>
    <row r="33" spans="1:5" x14ac:dyDescent="0.25">
      <c r="A33" s="5"/>
      <c r="E33" s="15"/>
    </row>
    <row r="34" spans="1:16" x14ac:dyDescent="0.25">
      <c r="A34" s="5" t="s">
        <v>43</v>
      </c>
      <c r="B34" s="16">
        <v>150</v>
      </c>
      <c r="C34" s="16">
        <v>155</v>
      </c>
      <c r="D34" s="16">
        <v>572</v>
      </c>
      <c r="E34" s="17">
        <f>D34</f>
        <v>572</v>
      </c>
      <c r="F34" s="16">
        <f>SUM(B34:E34)</f>
        <v>1449</v>
      </c>
      <c r="G34" s="16">
        <f>$B$17</f>
        <v>300</v>
      </c>
      <c r="H34" s="16">
        <f>$B$17</f>
        <v>300</v>
      </c>
      <c r="I34" s="16">
        <f>$B$17</f>
        <v>300</v>
      </c>
      <c r="J34" s="16">
        <f>$B$17</f>
        <v>300</v>
      </c>
      <c r="K34" s="16">
        <f>SUM(G34:J34)</f>
        <v>1200</v>
      </c>
      <c r="L34" s="16">
        <f>$B$17</f>
        <v>300</v>
      </c>
      <c r="M34" s="16">
        <f>$B$17</f>
        <v>300</v>
      </c>
      <c r="N34" s="16">
        <f>$B$17</f>
        <v>300</v>
      </c>
      <c r="O34" s="16">
        <f>$B$17</f>
        <v>300</v>
      </c>
      <c r="P34" s="16">
        <f>SUM(L34:O34)</f>
        <v>1200</v>
      </c>
    </row>
    <row r="35" spans="1:16" x14ac:dyDescent="0.25">
      <c r="A35" s="5" t="s">
        <v>44</v>
      </c>
      <c r="B35" s="16">
        <f>B31+B34</f>
        <v>51002</v>
      </c>
      <c r="C35" s="16">
        <f>C31+C34</f>
        <v>35839</v>
      </c>
      <c r="D35" s="16">
        <f>D31+D34</f>
        <v>36267</v>
      </c>
      <c r="E35" s="17">
        <f>E31+E34</f>
        <v>34859.9625</v>
      </c>
      <c r="F35" s="16">
        <f>SUM(B35:E35)</f>
        <v>157967.9625</v>
      </c>
      <c r="G35" s="16">
        <f>G31+G34</f>
        <v>56032.052240000005</v>
      </c>
      <c r="H35" s="16">
        <f>H31+H34</f>
        <v>38024.915360000006</v>
      </c>
      <c r="I35" s="16">
        <f>I31+I34</f>
        <v>37175.38567999999</v>
      </c>
      <c r="J35" s="16">
        <f>J31+J34</f>
        <v>38720.968959999984</v>
      </c>
      <c r="K35" s="16">
        <f>SUM(G35:J35)</f>
        <v>169953.32223999995</v>
      </c>
      <c r="L35" s="16">
        <f>L31+L34</f>
        <v>59885.16638800001</v>
      </c>
      <c r="M35" s="16">
        <f>M31+M34</f>
        <v>40628.43503200001</v>
      </c>
      <c r="N35" s="16">
        <f>N31+N34</f>
        <v>39720.029866000004</v>
      </c>
      <c r="O35" s="16">
        <f>O31+O34</f>
        <v>41372.700977</v>
      </c>
      <c r="P35" s="16">
        <f>SUM(L35:O35)</f>
        <v>181606.33226300002</v>
      </c>
    </row>
    <row r="36" spans="1:16" x14ac:dyDescent="0.25">
      <c r="A36" s="5" t="s">
        <v>45</v>
      </c>
      <c r="B36" s="16">
        <v>8905</v>
      </c>
      <c r="C36" s="16">
        <v>6255</v>
      </c>
      <c r="D36" s="16">
        <v>6478</v>
      </c>
      <c r="E36" s="17">
        <f>E35*E37</f>
        <v>6100.4934375</v>
      </c>
      <c r="F36" s="16">
        <f>SUM(B36:E36)</f>
        <v>27738.4934375</v>
      </c>
      <c r="G36" s="16">
        <f>G35*G37</f>
        <v>9805.609142</v>
      </c>
      <c r="H36" s="16">
        <f>H35*H37</f>
        <v>6654.360188000001</v>
      </c>
      <c r="I36" s="16">
        <f>I35*I37</f>
        <v>6505.692493999998</v>
      </c>
      <c r="J36" s="16">
        <f>J35*J37</f>
        <v>6776.169567999997</v>
      </c>
      <c r="K36" s="16">
        <f>SUM(G36:J36)</f>
        <v>29741.831391999996</v>
      </c>
      <c r="L36" s="16">
        <f>L35*L37</f>
        <v>10479.904117900001</v>
      </c>
      <c r="M36" s="16">
        <f>M35*M37</f>
        <v>7109.976130600001</v>
      </c>
      <c r="N36" s="16">
        <f>N35*N37</f>
        <v>6951.005226550001</v>
      </c>
      <c r="O36" s="16">
        <f>O35*O37</f>
        <v>7240.222670974999</v>
      </c>
      <c r="P36" s="16">
        <f>SUM(L36:O36)</f>
        <v>31781.108146025002</v>
      </c>
    </row>
    <row r="37" spans="1:16" x14ac:dyDescent="0.25">
      <c r="A37" s="5" t="s">
        <v>46</v>
      </c>
      <c r="B37" s="13">
        <f>B36/B35</f>
        <v>0.17460099603937101</v>
      </c>
      <c r="C37" s="13">
        <f>C36/C35</f>
        <v>0.17453053935656687</v>
      </c>
      <c r="D37" s="13">
        <f>D36/D35</f>
        <v>0.1786196818043952</v>
      </c>
      <c r="E37" s="14">
        <f>$B$16</f>
        <v>0.175</v>
      </c>
      <c r="F37" s="13">
        <f>F36/F35</f>
        <v>0.17559569040779394</v>
      </c>
      <c r="G37" s="13">
        <f>$B$16</f>
        <v>0.175</v>
      </c>
      <c r="H37" s="13">
        <f>$B$16</f>
        <v>0.175</v>
      </c>
      <c r="I37" s="13">
        <f>$B$16</f>
        <v>0.175</v>
      </c>
      <c r="J37" s="13">
        <f>$B$16</f>
        <v>0.175</v>
      </c>
      <c r="K37" s="13">
        <f>K36/K35</f>
        <v>0.17500000000000002</v>
      </c>
      <c r="L37" s="13">
        <f>$B$16</f>
        <v>0.175</v>
      </c>
      <c r="M37" s="13">
        <f>$B$16</f>
        <v>0.175</v>
      </c>
      <c r="N37" s="13">
        <f>$B$16</f>
        <v>0.175</v>
      </c>
      <c r="O37" s="13">
        <f>$B$16</f>
        <v>0.175</v>
      </c>
      <c r="P37" s="13">
        <f>P36/P35</f>
        <v>0.175</v>
      </c>
    </row>
    <row r="38" spans="1:16" x14ac:dyDescent="0.25">
      <c r="A38" s="10" t="s">
        <v>47</v>
      </c>
      <c r="B38" s="11">
        <f>B35-B36</f>
        <v>42097</v>
      </c>
      <c r="C38" s="11">
        <f>C35-C36</f>
        <v>29584</v>
      </c>
      <c r="D38" s="11">
        <f>D35-D36</f>
        <v>29789</v>
      </c>
      <c r="E38" s="12">
        <f>E35-E36</f>
        <v>28759.4690625</v>
      </c>
      <c r="F38" s="11">
        <f>SUM(B38:E38)</f>
        <v>130229.4690625</v>
      </c>
      <c r="G38" s="11">
        <f>G35-G36</f>
        <v>46226.443098</v>
      </c>
      <c r="H38" s="11">
        <f>H35-H36</f>
        <v>31370.555172000008</v>
      </c>
      <c r="I38" s="11">
        <f>I35-I36</f>
        <v>30669.693185999993</v>
      </c>
      <c r="J38" s="11">
        <f>J35-J36</f>
        <v>31944.799391999986</v>
      </c>
      <c r="K38" s="11">
        <f>SUM(G38:J38)</f>
        <v>140211.490848</v>
      </c>
      <c r="L38" s="11">
        <f>L35-L36</f>
        <v>49405.26227010001</v>
      </c>
      <c r="M38" s="11">
        <f>M35-M36</f>
        <v>33518.45890140001</v>
      </c>
      <c r="N38" s="11">
        <f>N35-N36</f>
        <v>32769.024639450006</v>
      </c>
      <c r="O38" s="11">
        <f>O35-O36</f>
        <v>34132.478306025005</v>
      </c>
      <c r="P38" s="11">
        <f>SUM(L38:O38)</f>
        <v>149825.22411697503</v>
      </c>
    </row>
    <row r="39" spans="1:16" x14ac:dyDescent="0.25">
      <c r="A39" s="5" t="s">
        <v>48</v>
      </c>
      <c r="B39" s="13">
        <f>B38/B21</f>
        <v>0.292836472912435</v>
      </c>
      <c r="C39" s="13">
        <f>C38/C21</f>
        <v>0.26608145056842714</v>
      </c>
      <c r="D39" s="13">
        <f>D38/D21</f>
        <v>0.2722520266503377</v>
      </c>
      <c r="E39" s="14">
        <f>E38/E21</f>
        <v>0.2551600241545893</v>
      </c>
      <c r="F39" s="13">
        <f>F38/F21</f>
        <v>0.2729785535253323</v>
      </c>
      <c r="G39" s="13">
        <f>G38/G21</f>
        <v>0.2977424394653286</v>
      </c>
      <c r="H39" s="13">
        <f>H38/H21</f>
        <v>0.26124991315696905</v>
      </c>
      <c r="I39" s="13">
        <f>I38/I21</f>
        <v>0.2595379516995632</v>
      </c>
      <c r="J39" s="13">
        <f>J38/J21</f>
        <v>0.26242679722615303</v>
      </c>
      <c r="K39" s="13">
        <f>K38/K21</f>
        <v>0.2721316844203482</v>
      </c>
      <c r="L39" s="13">
        <f>L38/L21</f>
        <v>0.2987953715330081</v>
      </c>
      <c r="M39" s="13">
        <f>M38/M21</f>
        <v>0.26210082321677736</v>
      </c>
      <c r="N39" s="13">
        <f>N38/N21</f>
        <v>0.2603786365730023</v>
      </c>
      <c r="O39" s="13">
        <f>O38/O21</f>
        <v>0.26328506855439604</v>
      </c>
      <c r="P39" s="13">
        <f>P38/P21</f>
        <v>0.2730428641608287</v>
      </c>
    </row>
    <row r="40" spans="1:5" x14ac:dyDescent="0.25">
      <c r="A40" s="5"/>
      <c r="E40" s="15"/>
    </row>
    <row r="41" spans="1:16" x14ac:dyDescent="0.25">
      <c r="A41" s="5" t="s">
        <v>49</v>
      </c>
      <c r="B41" s="18">
        <f>B38/B42</f>
        <v>2.842402978024296</v>
      </c>
      <c r="C41" s="18">
        <f>C38/C42</f>
        <v>2.010001087074682</v>
      </c>
      <c r="D41" s="18">
        <f>D38/D42</f>
        <v>2.0244414487957467</v>
      </c>
      <c r="E41" s="19">
        <f>E38/E42</f>
        <v>1.9618320528321114</v>
      </c>
      <c r="F41" s="18">
        <f>F38/F42</f>
        <v>8.843666932134992</v>
      </c>
      <c r="G41" s="18">
        <f>G38/G42</f>
        <v>3.1687556385723585</v>
      </c>
      <c r="H41" s="18">
        <f>H38/H42</f>
        <v>2.1638411350715128</v>
      </c>
      <c r="I41" s="18">
        <f>I38/I42</f>
        <v>2.1160332956885375</v>
      </c>
      <c r="J41" s="18">
        <f>J38/J42</f>
        <v>2.2123044677460095</v>
      </c>
      <c r="K41" s="18">
        <f>K38/K42</f>
        <v>9.666527361819822</v>
      </c>
      <c r="L41" s="18">
        <f>L38/L42</f>
        <v>3.438232571593397</v>
      </c>
      <c r="M41" s="18">
        <f>M38/M42</f>
        <v>2.3472047754642613</v>
      </c>
      <c r="N41" s="18">
        <f>N38/N42</f>
        <v>2.295304721539188</v>
      </c>
      <c r="O41" s="18">
        <f>O38/O42</f>
        <v>2.3998070430648752</v>
      </c>
      <c r="P41" s="18">
        <f>P38/P42</f>
        <v>10.486621257153962</v>
      </c>
    </row>
    <row r="42" spans="1:16" x14ac:dyDescent="0.25">
      <c r="A42" s="5" t="s">
        <v>50</v>
      </c>
      <c r="B42" s="20">
        <v>14810.356</v>
      </c>
      <c r="C42" s="20">
        <v>14718.4</v>
      </c>
      <c r="D42" s="20">
        <v>14714.676</v>
      </c>
      <c r="E42" s="21">
        <f>D42*(1-$B$18/4)</f>
        <v>14659.495964999998</v>
      </c>
      <c r="F42" s="20">
        <f>AVERAGE(B42:E42)</f>
        <v>14725.731991249999</v>
      </c>
      <c r="G42" s="20">
        <f>B42*(1-$B$18)</f>
        <v>14588.20066</v>
      </c>
      <c r="H42" s="20">
        <f>C42*(1-$B$18)</f>
        <v>14497.624</v>
      </c>
      <c r="I42" s="20">
        <f>D42*(1-$B$18)</f>
        <v>14493.95586</v>
      </c>
      <c r="J42" s="20">
        <f>E42*(1-$B$18)</f>
        <v>14439.603525524999</v>
      </c>
      <c r="K42" s="20">
        <f>AVERAGE(G42:J42)</f>
        <v>14504.84601138125</v>
      </c>
      <c r="L42" s="20">
        <f>G42*(1-$B$18)</f>
        <v>14369.377650100001</v>
      </c>
      <c r="M42" s="20">
        <f>H42*(1-$B$18)</f>
        <v>14280.15964</v>
      </c>
      <c r="N42" s="20">
        <f>I42*(1-$B$18)</f>
        <v>14276.5465221</v>
      </c>
      <c r="O42" s="20">
        <f>J42*(1-$B$18)</f>
        <v>14223.009472642123</v>
      </c>
      <c r="P42" s="20">
        <f>AVERAGE(L42:O42)</f>
        <v>14287.27332121053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2026-08-17T15:21:25Z</dcterms:created>
  <dcterms:modified xsi:type="dcterms:W3CDTF">2026-08-17T15:21:25Z</dcterms:modified>
</cp:coreProperties>
</file>