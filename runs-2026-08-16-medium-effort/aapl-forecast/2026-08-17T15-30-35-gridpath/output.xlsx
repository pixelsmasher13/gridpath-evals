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7" authorId="0">
      <text>
        <r>
          <t>Sources: FY2025 10-K (filed 10/31/2025) and Apple fiscal Q1-Q3 FY2026 8-K press releases / 10-Qs (SEC EDGAR). FY2025 quarterly Revenue, Gross Margin %, Net Income and Diluted Shares are as reported; Operating Expense per quarter is derived by allocating the reported FY2025 total ($62,151M) using known Q3/Q4 actuals ($15,500M/$15,900M) and pro-rating the remainder by revenue for Q1/Q2. Other Income/(Expense) is simplified to $0 across all historical quarters (actual FY2025 was -$321M), so Tax Provision is a small reconciling plug (=Pretax-Net Income) rather than the exact reported tax line. FY2026 Q4 and all FY2027-FY2028 figures are forecasts driven by the Key Assumptions block (rows 6-11).</t>
        </r>
      </text>
    </comment>
  </commentList>
</comments>
</file>

<file path=xl/sharedStrings.xml><?xml version="1.0" encoding="utf-8"?>
<sst xmlns="http://schemas.openxmlformats.org/spreadsheetml/2006/main" count="59" uniqueCount="49">
  <si>
    <t>Apple Inc. (AAPL) — Income Statement Forecast, FY2026E–FY2028E (Quarterly)</t>
  </si>
  <si>
    <t>$ in millions, except per-share data. Fiscal year ends last Saturday of September. FY2025 &amp; FY2026 Q1–Q3 = actuals per SEC filings/press releases; FY2026 Q4 &amp; all FY2027–FY2028 = forecast.</t>
  </si>
  <si>
    <t>Key Assumptions (Forecast Periods)</t>
  </si>
  <si>
    <t>Assumption</t>
  </si>
  <si>
    <t>FY2026 Q4E</t>
  </si>
  <si>
    <t>FY2027E</t>
  </si>
  <si>
    <t>FY2028E</t>
  </si>
  <si>
    <t>Revenue Growth % (YoY)</t>
  </si>
  <si>
    <t>Gross Margin %</t>
  </si>
  <si>
    <t>Operating Expense Growth % (YoY)</t>
  </si>
  <si>
    <t>Effective Tax Rate %</t>
  </si>
  <si>
    <t>Diluted Shares Change % (YoY)</t>
  </si>
  <si>
    <t>Other Income/(Expense) ($M)</t>
  </si>
  <si>
    <t>Income Statement ($ in millions, except per-share data)</t>
  </si>
  <si>
    <t>FY2025A</t>
  </si>
  <si>
    <t>FY2026</t>
  </si>
  <si>
    <t>Q1</t>
  </si>
  <si>
    <t>Q2</t>
  </si>
  <si>
    <t>Q3</t>
  </si>
  <si>
    <t>Q4</t>
  </si>
  <si>
    <t>FY</t>
  </si>
  <si>
    <t>Q1A</t>
  </si>
  <si>
    <t>Q2A</t>
  </si>
  <si>
    <t>Q3A</t>
  </si>
  <si>
    <t>Q4E</t>
  </si>
  <si>
    <t>Q1E</t>
  </si>
  <si>
    <t>Q2E</t>
  </si>
  <si>
    <t>Q3E</t>
  </si>
  <si>
    <t>Qtr End</t>
  </si>
  <si>
    <t>FY25</t>
  </si>
  <si>
    <t>FY26</t>
  </si>
  <si>
    <t>FY27</t>
  </si>
  <si>
    <t>FY28</t>
  </si>
  <si>
    <t>Revenue</t>
  </si>
  <si>
    <t xml:space="preserve">  YoY Growth %</t>
  </si>
  <si>
    <t>Cost of Revenue</t>
  </si>
  <si>
    <t>Gross Profit</t>
  </si>
  <si>
    <t xml:space="preserve">  Gross Margin %</t>
  </si>
  <si>
    <t>Operating Expenses (R&amp;D + SG&amp;A)</t>
  </si>
  <si>
    <t>Operating Income</t>
  </si>
  <si>
    <t xml:space="preserve">  Operating Margin %</t>
  </si>
  <si>
    <t>Other Income/(Expense)</t>
  </si>
  <si>
    <t>Pretax Income</t>
  </si>
  <si>
    <t>Tax Provision</t>
  </si>
  <si>
    <t xml:space="preserve">  Effective Tax Rate %</t>
  </si>
  <si>
    <t>Net Income</t>
  </si>
  <si>
    <t xml:space="preserve">  Net Margin %</t>
  </si>
  <si>
    <t>Diluted EPS ($)</t>
  </si>
  <si>
    <t>Diluted Shares Outstanding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</si>
</sst>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(#,##0);-"/>
    <numFmt numFmtId="165" formatCode="$#,##0.00"/>
  </numFmts>
  <fonts count="7" x14ac:knownFonts="1">
    <font>
      <color theme="1"/>
      <family val="2"/>
      <scheme val="minor"/>
      <sz val="11"/>
      <name val="Calibri"/>
    </font>
    <font>
      <b/>
      <color rgb="FF1F4E79"/>
      <sz val="14"/>
    </font>
    <font>
      <i/>
      <color rgb="FF666666"/>
      <sz val="9"/>
    </font>
    <font>
      <b/>
      <color rgb="FFFFFFFF"/>
      <sz val="11"/>
    </font>
    <font>
      <b/>
    </font>
    <font>
      <sz val="10"/>
    </font>
    <font>
      <color rgb="FF0000FF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164" fontId="6" fillId="0" borderId="0" xfId="0" applyNumberFormat="1" applyFont="1"/>
    <xf numFmtId="0" fontId="4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/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>
      <pane xSplit="1" ySplit="16" topLeftCell="B17" activePane="bottomRight" state="frozen"/>
      <selection pane="bottomRight"/>
    </sheetView>
  </sheetViews>
  <sheetFormatPr defaultRowHeight="15" outlineLevelRow="0" outlineLevelCol="0" x14ac:dyDescent="55"/>
  <cols>
    <col min="1" max="1" width="32.142857142857146" customWidth="1"/>
    <col min="2" max="5" width="10.428571428571429" customWidth="1"/>
    <col min="6" max="6" width="11.857142857142858" customWidth="1"/>
    <col min="7" max="10" width="10.428571428571429" customWidth="1"/>
    <col min="11" max="11" width="11.857142857142858" customWidth="1"/>
    <col min="12" max="15" width="10.428571428571429" customWidth="1"/>
    <col min="16" max="16" width="11.857142857142858" customWidth="1"/>
    <col min="17" max="20" width="10.428571428571429" customWidth="1"/>
    <col min="21" max="21" width="11.857142857142858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spans="1:21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5" x14ac:dyDescent="0.25">
      <c r="A5" t="s">
        <v>3</v>
      </c>
      <c r="B5" s="4"/>
      <c r="C5" s="4" t="s">
        <v>4</v>
      </c>
      <c r="D5" s="4" t="s">
        <v>5</v>
      </c>
      <c r="E5" s="4" t="s">
        <v>6</v>
      </c>
    </row>
    <row r="6" spans="1:5" x14ac:dyDescent="0.25">
      <c r="A6" s="5" t="s">
        <v>7</v>
      </c>
      <c r="C6">
        <v>0.1</v>
      </c>
      <c r="D6">
        <v>0.08</v>
      </c>
      <c r="E6">
        <v>0.07</v>
      </c>
    </row>
    <row r="7" spans="1:5" x14ac:dyDescent="0.25">
      <c r="A7" s="5" t="s">
        <v>8</v>
      </c>
      <c r="C7">
        <v>0.475</v>
      </c>
      <c r="D7">
        <v>0.49</v>
      </c>
      <c r="E7">
        <v>0.495</v>
      </c>
    </row>
    <row r="8" spans="1:5" x14ac:dyDescent="0.25">
      <c r="A8" s="5" t="s">
        <v>9</v>
      </c>
      <c r="C8">
        <v>0.164</v>
      </c>
      <c r="D8">
        <v>0.12</v>
      </c>
      <c r="E8">
        <v>0.09</v>
      </c>
    </row>
    <row r="9" spans="1:5" x14ac:dyDescent="0.25">
      <c r="A9" s="5" t="s">
        <v>10</v>
      </c>
      <c r="C9">
        <v>0.165</v>
      </c>
      <c r="D9">
        <v>0.16</v>
      </c>
      <c r="E9">
        <v>0.16</v>
      </c>
    </row>
    <row r="10" spans="1:5" x14ac:dyDescent="0.25">
      <c r="A10" s="5" t="s">
        <v>11</v>
      </c>
      <c r="C10">
        <v>-0.017</v>
      </c>
      <c r="D10">
        <v>-0.025</v>
      </c>
      <c r="E10">
        <v>-0.025</v>
      </c>
    </row>
    <row r="11" spans="1:5" x14ac:dyDescent="0.25">
      <c r="A11" s="5" t="s">
        <v>12</v>
      </c>
      <c r="C11" s="6">
        <v>0</v>
      </c>
      <c r="D11" s="6">
        <v>0</v>
      </c>
      <c r="E11" s="6">
        <v>0</v>
      </c>
    </row>
    <row r="13" spans="1:21" x14ac:dyDescent="0.25">
      <c r="A13" s="3" t="s">
        <v>13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5">
      <c r="A14" s="7"/>
      <c r="B14" s="7" t="s">
        <v>14</v>
      </c>
      <c r="C14" s="7"/>
      <c r="D14" s="7"/>
      <c r="E14" s="7"/>
      <c r="F14" s="7"/>
      <c r="G14" s="7" t="s">
        <v>15</v>
      </c>
      <c r="H14" s="7"/>
      <c r="I14" s="7"/>
      <c r="J14" s="7"/>
      <c r="K14" s="7"/>
      <c r="L14" s="7" t="s">
        <v>5</v>
      </c>
      <c r="M14" s="7"/>
      <c r="N14" s="7"/>
      <c r="O14" s="7"/>
      <c r="P14" s="7"/>
      <c r="Q14" s="7" t="s">
        <v>6</v>
      </c>
      <c r="R14" s="7"/>
      <c r="S14" s="7"/>
      <c r="T14" s="7"/>
      <c r="U14" s="7"/>
    </row>
    <row r="15" spans="1:21" x14ac:dyDescent="0.25">
      <c r="A15" s="7"/>
      <c r="B15" s="7" t="s">
        <v>16</v>
      </c>
      <c r="C15" s="7" t="s">
        <v>17</v>
      </c>
      <c r="D15" s="7" t="s">
        <v>18</v>
      </c>
      <c r="E15" s="7" t="s">
        <v>19</v>
      </c>
      <c r="F15" s="7" t="s">
        <v>20</v>
      </c>
      <c r="G15" s="7" t="s">
        <v>21</v>
      </c>
      <c r="H15" s="7" t="s">
        <v>22</v>
      </c>
      <c r="I15" s="7" t="s">
        <v>23</v>
      </c>
      <c r="J15" s="7" t="s">
        <v>24</v>
      </c>
      <c r="K15" s="7" t="s">
        <v>20</v>
      </c>
      <c r="L15" s="7" t="s">
        <v>25</v>
      </c>
      <c r="M15" s="7" t="s">
        <v>26</v>
      </c>
      <c r="N15" s="7" t="s">
        <v>27</v>
      </c>
      <c r="O15" s="7" t="s">
        <v>24</v>
      </c>
      <c r="P15" s="7" t="s">
        <v>20</v>
      </c>
      <c r="Q15" s="7" t="s">
        <v>25</v>
      </c>
      <c r="R15" s="7" t="s">
        <v>26</v>
      </c>
      <c r="S15" s="7" t="s">
        <v>27</v>
      </c>
      <c r="T15" s="7" t="s">
        <v>24</v>
      </c>
      <c r="U15" s="7" t="s">
        <v>20</v>
      </c>
    </row>
    <row r="16" spans="1:21" x14ac:dyDescent="0.25">
      <c r="A16" s="8" t="s">
        <v>28</v>
      </c>
      <c r="B16" s="8">
        <v>45627</v>
      </c>
      <c r="C16" s="8">
        <v>45717</v>
      </c>
      <c r="D16" s="8">
        <v>45809</v>
      </c>
      <c r="E16" s="8">
        <v>45901</v>
      </c>
      <c r="F16" s="8" t="s">
        <v>29</v>
      </c>
      <c r="G16" s="8">
        <v>45992</v>
      </c>
      <c r="H16" s="8">
        <v>46082</v>
      </c>
      <c r="I16" s="8">
        <v>46174</v>
      </c>
      <c r="J16" s="8">
        <v>46266</v>
      </c>
      <c r="K16" s="8" t="s">
        <v>30</v>
      </c>
      <c r="L16" s="8">
        <v>46357</v>
      </c>
      <c r="M16" s="8">
        <v>46447</v>
      </c>
      <c r="N16" s="8">
        <v>46539</v>
      </c>
      <c r="O16" s="8">
        <v>46631</v>
      </c>
      <c r="P16" s="8" t="s">
        <v>31</v>
      </c>
      <c r="Q16" s="8">
        <v>46722</v>
      </c>
      <c r="R16" s="8">
        <v>46813</v>
      </c>
      <c r="S16" s="8">
        <v>46905</v>
      </c>
      <c r="T16" s="8">
        <v>46997</v>
      </c>
      <c r="U16" s="8" t="s">
        <v>32</v>
      </c>
    </row>
    <row r="17" spans="1:21" x14ac:dyDescent="0.25">
      <c r="A17" s="5" t="s">
        <v>33</v>
      </c>
      <c r="B17">
        <v>124300</v>
      </c>
      <c r="C17">
        <v>95359</v>
      </c>
      <c r="D17">
        <v>94036</v>
      </c>
      <c r="E17">
        <v>102466</v>
      </c>
      <c r="F17">
        <f>SUM(B17,C17,D17,E17)</f>
        <v>416161</v>
      </c>
      <c r="G17">
        <v>143800</v>
      </c>
      <c r="H17">
        <v>111200</v>
      </c>
      <c r="I17">
        <v>109400</v>
      </c>
      <c r="J17">
        <f>E17*(1+$C$6)</f>
        <v>112712.6</v>
      </c>
      <c r="K17">
        <f>SUM(G17,H17,I17,J17)</f>
        <v>477112.6</v>
      </c>
      <c r="L17">
        <f>G17*(1+$D$6)</f>
        <v>155304</v>
      </c>
      <c r="M17">
        <f>H17*(1+$D$6)</f>
        <v>120096.00000000001</v>
      </c>
      <c r="N17">
        <f>I17*(1+$D$6)</f>
        <v>118152.00000000001</v>
      </c>
      <c r="O17">
        <f>J17*(1+$D$6)</f>
        <v>121729.60800000001</v>
      </c>
      <c r="P17">
        <f>SUM(L17,M17,N17,O17)</f>
        <v>515281.608</v>
      </c>
      <c r="Q17">
        <f>L17*(1+$E$6)</f>
        <v>166175.28</v>
      </c>
      <c r="R17">
        <f>M17*(1+$E$6)</f>
        <v>128502.72000000003</v>
      </c>
      <c r="S17">
        <f>N17*(1+$E$6)</f>
        <v>126422.64000000003</v>
      </c>
      <c r="T17">
        <f>O17*(1+$E$6)</f>
        <v>130250.68056000002</v>
      </c>
      <c r="U17">
        <f>SUM(Q17,R17,S17,T17)</f>
        <v>551351.32056</v>
      </c>
    </row>
    <row r="18" spans="1:21" x14ac:dyDescent="0.25">
      <c r="A18" s="5" t="s">
        <v>34</v>
      </c>
      <c r="G18">
        <f>G17/B17-1</f>
        <v>0.15687851971037814</v>
      </c>
      <c r="H18">
        <f>H17/C17-1</f>
        <v>0.1661196111536405</v>
      </c>
      <c r="I18">
        <f>I17/D17-1</f>
        <v>0.16338423582457784</v>
      </c>
      <c r="J18">
        <f>J17/E17-1</f>
        <v>0.10000000000000009</v>
      </c>
      <c r="K18">
        <f>K17/F17-1</f>
        <v>0.14646158578050317</v>
      </c>
      <c r="L18">
        <f>L17/G17-1</f>
        <v>0.08000000000000007</v>
      </c>
      <c r="M18">
        <f>M17/H17-1</f>
        <v>0.08000000000000007</v>
      </c>
      <c r="N18">
        <f>N17/I17-1</f>
        <v>0.08000000000000007</v>
      </c>
      <c r="O18">
        <f>O17/J17-1</f>
        <v>0.08000000000000007</v>
      </c>
      <c r="P18">
        <f>P17/K17-1</f>
        <v>0.08000000000000007</v>
      </c>
      <c r="Q18">
        <f>Q17/L17-1</f>
        <v>0.07000000000000006</v>
      </c>
      <c r="R18">
        <f>R17/M17-1</f>
        <v>0.07000000000000006</v>
      </c>
      <c r="S18">
        <f>S17/N17-1</f>
        <v>0.07000000000000006</v>
      </c>
      <c r="T18">
        <f>T17/O17-1</f>
        <v>0.07000000000000006</v>
      </c>
      <c r="U18">
        <f>U17/P17-1</f>
        <v>0.07000000000000006</v>
      </c>
    </row>
    <row r="19" spans="1:21" x14ac:dyDescent="0.25">
      <c r="A19" s="5" t="s">
        <v>35</v>
      </c>
      <c r="B19">
        <f>B17-B20</f>
        <v>66003.3</v>
      </c>
      <c r="C19">
        <f>C17-C20</f>
        <v>50540.270000000004</v>
      </c>
      <c r="D19">
        <f>D17-D20</f>
        <v>50309.259999999995</v>
      </c>
      <c r="E19">
        <f>E17-E20</f>
        <v>54102.048</v>
      </c>
      <c r="F19">
        <f>SUM(B19,C19,D19,E19)</f>
        <v>220954.87800000003</v>
      </c>
      <c r="G19">
        <f>G17-G20</f>
        <v>74488.40000000001</v>
      </c>
      <c r="H19">
        <f>H17-H20</f>
        <v>56422.880000000005</v>
      </c>
      <c r="I19">
        <f>I17-I20</f>
        <v>54590.6</v>
      </c>
      <c r="J19">
        <f>J17-J20</f>
        <v>59174.115000000005</v>
      </c>
      <c r="K19">
        <f>SUM(G19,H19,I19,J19)</f>
        <v>244675.995</v>
      </c>
      <c r="L19">
        <f>L17-L20</f>
        <v>79205.04000000001</v>
      </c>
      <c r="M19">
        <f>M17-M20</f>
        <v>61248.96000000001</v>
      </c>
      <c r="N19">
        <f>N17-N20</f>
        <v>60257.52000000001</v>
      </c>
      <c r="O19">
        <f>O17-O20</f>
        <v>62082.100080000004</v>
      </c>
      <c r="P19">
        <f>SUM(L19,M19,N19,O19)</f>
        <v>262793.62008</v>
      </c>
      <c r="Q19">
        <f>Q17-Q20</f>
        <v>83918.5164</v>
      </c>
      <c r="R19">
        <f>R17-R20</f>
        <v>64893.87360000001</v>
      </c>
      <c r="S19">
        <f>S17-S20</f>
        <v>63843.433200000014</v>
      </c>
      <c r="T19">
        <f>T17-T20</f>
        <v>65776.59368280001</v>
      </c>
      <c r="U19">
        <f>SUM(Q19,R19,S19,T19)</f>
        <v>278432.41688280005</v>
      </c>
    </row>
    <row r="20" spans="1:21" x14ac:dyDescent="0.25">
      <c r="A20" s="5" t="s">
        <v>36</v>
      </c>
      <c r="B20">
        <f>B17*B21</f>
        <v>58296.7</v>
      </c>
      <c r="C20">
        <f>C17*C21</f>
        <v>44818.729999999996</v>
      </c>
      <c r="D20">
        <f>D17*D21</f>
        <v>43726.740000000005</v>
      </c>
      <c r="E20">
        <f>E17*E21</f>
        <v>48363.952</v>
      </c>
      <c r="F20">
        <f>SUM(B20,C20,D20,E20)</f>
        <v>195206.12199999997</v>
      </c>
      <c r="G20">
        <f>G17*G21</f>
        <v>69311.59999999999</v>
      </c>
      <c r="H20">
        <f>H17*H21</f>
        <v>54777.119999999995</v>
      </c>
      <c r="I20">
        <f>I17*I21</f>
        <v>54809.4</v>
      </c>
      <c r="J20">
        <f>J17*J21</f>
        <v>53538.485</v>
      </c>
      <c r="K20">
        <f>SUM(G20,H20,I20,J20)</f>
        <v>232436.60499999998</v>
      </c>
      <c r="L20">
        <f>L17*L21</f>
        <v>76098.95999999999</v>
      </c>
      <c r="M20">
        <f>M17*M21</f>
        <v>58847.04000000001</v>
      </c>
      <c r="N20">
        <f>N17*N21</f>
        <v>57894.48</v>
      </c>
      <c r="O20">
        <f>O17*O21</f>
        <v>59647.507920000004</v>
      </c>
      <c r="P20">
        <f>SUM(L20,M20,N20,O20)</f>
        <v>252487.98792</v>
      </c>
      <c r="Q20">
        <f>Q17*Q21</f>
        <v>82256.7636</v>
      </c>
      <c r="R20">
        <f>R17*R21</f>
        <v>63608.84640000002</v>
      </c>
      <c r="S20">
        <f>S17*S21</f>
        <v>62579.206800000014</v>
      </c>
      <c r="T20">
        <f>T17*T21</f>
        <v>64474.08687720001</v>
      </c>
      <c r="U20">
        <f>SUM(Q20,R20,S20,T20)</f>
        <v>272918.9036772</v>
      </c>
    </row>
    <row r="21" spans="1:21" x14ac:dyDescent="0.25">
      <c r="A21" s="5" t="s">
        <v>37</v>
      </c>
      <c r="B21">
        <v>0.469</v>
      </c>
      <c r="C21">
        <v>0.47</v>
      </c>
      <c r="D21">
        <v>0.465</v>
      </c>
      <c r="E21">
        <v>0.472</v>
      </c>
      <c r="F21">
        <f>F20/F17</f>
        <v>0.4690639488082737</v>
      </c>
      <c r="G21">
        <v>0.482</v>
      </c>
      <c r="H21">
        <v>0.4926</v>
      </c>
      <c r="I21">
        <v>0.501</v>
      </c>
      <c r="J21">
        <f>$C$7</f>
        <v>0.475</v>
      </c>
      <c r="K21">
        <f>K20/K17</f>
        <v>0.4871734785457353</v>
      </c>
      <c r="L21">
        <f>$D$7</f>
        <v>0.49</v>
      </c>
      <c r="M21">
        <f>$D$7</f>
        <v>0.49</v>
      </c>
      <c r="N21">
        <f>$D$7</f>
        <v>0.49</v>
      </c>
      <c r="O21">
        <f>$D$7</f>
        <v>0.49</v>
      </c>
      <c r="P21">
        <f>P20/P17</f>
        <v>0.49000000000000005</v>
      </c>
      <c r="Q21">
        <f>$E$7</f>
        <v>0.495</v>
      </c>
      <c r="R21">
        <f>$E$7</f>
        <v>0.495</v>
      </c>
      <c r="S21">
        <f>$E$7</f>
        <v>0.495</v>
      </c>
      <c r="T21">
        <f>$E$7</f>
        <v>0.495</v>
      </c>
      <c r="U21">
        <f>U20/U17</f>
        <v>0.49500000000000005</v>
      </c>
    </row>
    <row r="22" spans="1:21" x14ac:dyDescent="0.25">
      <c r="A22" s="5" t="s">
        <v>38</v>
      </c>
      <c r="B22">
        <v>17394</v>
      </c>
      <c r="C22">
        <v>13357</v>
      </c>
      <c r="D22">
        <v>15500</v>
      </c>
      <c r="E22">
        <v>15900</v>
      </c>
      <c r="F22">
        <f>SUM(B22,C22,D22,E22)</f>
        <v>62151</v>
      </c>
      <c r="G22">
        <v>18412</v>
      </c>
      <c r="H22">
        <v>18891</v>
      </c>
      <c r="I22">
        <v>19100</v>
      </c>
      <c r="J22">
        <f>E22*(1+$C$8)</f>
        <v>18507.6</v>
      </c>
      <c r="K22">
        <f>SUM(G22,H22,I22,J22)</f>
        <v>74910.6</v>
      </c>
      <c r="L22">
        <f>G22*(1+$D$8)</f>
        <v>20621.440000000002</v>
      </c>
      <c r="M22">
        <f>H22*(1+$D$8)</f>
        <v>21157.920000000002</v>
      </c>
      <c r="N22">
        <f>I22*(1+$D$8)</f>
        <v>21392.000000000004</v>
      </c>
      <c r="O22">
        <f>J22*(1+$D$8)</f>
        <v>20728.512</v>
      </c>
      <c r="P22">
        <f>SUM(L22,M22,N22,O22)</f>
        <v>83899.872</v>
      </c>
      <c r="Q22">
        <f>L22*(1+$E$8)</f>
        <v>22477.369600000005</v>
      </c>
      <c r="R22">
        <f>M22*(1+$E$8)</f>
        <v>23062.132800000003</v>
      </c>
      <c r="S22">
        <f>N22*(1+$E$8)</f>
        <v>23317.280000000006</v>
      </c>
      <c r="T22">
        <f>O22*(1+$E$8)</f>
        <v>22594.07808</v>
      </c>
      <c r="U22">
        <f>SUM(Q22,R22,S22,T22)</f>
        <v>91450.86048000003</v>
      </c>
    </row>
    <row r="23" spans="1:21" x14ac:dyDescent="0.25">
      <c r="A23" s="5" t="s">
        <v>39</v>
      </c>
      <c r="B23">
        <f>B20-B22</f>
        <v>40902.7</v>
      </c>
      <c r="C23">
        <f>C20-C22</f>
        <v>31461.729999999996</v>
      </c>
      <c r="D23">
        <f>D20-D22</f>
        <v>28226.740000000005</v>
      </c>
      <c r="E23">
        <f>E20-E22</f>
        <v>32463.951999999997</v>
      </c>
      <c r="F23">
        <f>SUM(B23,C23,D23,E23)</f>
        <v>133055.122</v>
      </c>
      <c r="G23">
        <f>G20-G22</f>
        <v>50899.59999999999</v>
      </c>
      <c r="H23">
        <f>H20-H22</f>
        <v>35886.119999999995</v>
      </c>
      <c r="I23">
        <f>I20-I22</f>
        <v>35709.4</v>
      </c>
      <c r="J23">
        <f>J20-J22</f>
        <v>35030.885</v>
      </c>
      <c r="K23">
        <f>SUM(G23,H23,I23,J23)</f>
        <v>157526.005</v>
      </c>
      <c r="L23">
        <f>L20-L22</f>
        <v>55477.51999999999</v>
      </c>
      <c r="M23">
        <f>M20-M22</f>
        <v>37689.12000000001</v>
      </c>
      <c r="N23">
        <f>N20-N22</f>
        <v>36502.479999999996</v>
      </c>
      <c r="O23">
        <f>O20-O22</f>
        <v>38918.99592</v>
      </c>
      <c r="P23">
        <f>SUM(L23,M23,N23,O23)</f>
        <v>168588.11592</v>
      </c>
      <c r="Q23">
        <f>Q20-Q22</f>
        <v>59779.394</v>
      </c>
      <c r="R23">
        <f>R20-R22</f>
        <v>40546.71360000002</v>
      </c>
      <c r="S23">
        <f>S20-S22</f>
        <v>39261.92680000001</v>
      </c>
      <c r="T23">
        <f>T20-T22</f>
        <v>41880.00879720001</v>
      </c>
      <c r="U23">
        <f>SUM(Q23,R23,S23,T23)</f>
        <v>181468.04319720005</v>
      </c>
    </row>
    <row r="24" spans="1:21" x14ac:dyDescent="0.25">
      <c r="A24" s="5" t="s">
        <v>40</v>
      </c>
      <c r="B24">
        <f>B23/B17</f>
        <v>0.3290643604183427</v>
      </c>
      <c r="C24">
        <f>C23/C17</f>
        <v>0.3299293197286045</v>
      </c>
      <c r="D24">
        <f>D23/D17</f>
        <v>0.30016950954953425</v>
      </c>
      <c r="E24">
        <f>E23/E17</f>
        <v>0.31682657662053754</v>
      </c>
      <c r="F24">
        <f>F23/F17</f>
        <v>0.31972030536258805</v>
      </c>
      <c r="G24">
        <f>G23/G17</f>
        <v>0.3539610570236439</v>
      </c>
      <c r="H24">
        <f>H23/H17</f>
        <v>0.3227169064748201</v>
      </c>
      <c r="I24">
        <f>I23/I17</f>
        <v>0.3264113345521024</v>
      </c>
      <c r="J24">
        <f>J23/J17</f>
        <v>0.3107983047148234</v>
      </c>
      <c r="K24">
        <f>K23/K17</f>
        <v>0.3301652586831704</v>
      </c>
      <c r="L24">
        <f>L23/L17</f>
        <v>0.3572188739504455</v>
      </c>
      <c r="M24">
        <f>M23/M17</f>
        <v>0.3138249400479617</v>
      </c>
      <c r="N24">
        <f>N23/N17</f>
        <v>0.30894508768366163</v>
      </c>
      <c r="O24">
        <f>O23/O17</f>
        <v>0.319716760445002</v>
      </c>
      <c r="P24">
        <f>P23/P17</f>
        <v>0.327176660883266</v>
      </c>
      <c r="Q24">
        <f>Q23/Q17</f>
        <v>0.35973698374391183</v>
      </c>
      <c r="R24">
        <f>R23/R17</f>
        <v>0.3155319482731572</v>
      </c>
      <c r="S24">
        <f>S23/S17</f>
        <v>0.310560883715132</v>
      </c>
      <c r="T24">
        <f>T23/T17</f>
        <v>0.32153389615425443</v>
      </c>
      <c r="U24">
        <f>U23/U17</f>
        <v>0.3291332339838879</v>
      </c>
    </row>
    <row r="25" spans="1:21" x14ac:dyDescent="0.25">
      <c r="A25" s="5" t="s">
        <v>41</v>
      </c>
      <c r="B25" s="9">
        <v>0</v>
      </c>
      <c r="C25" s="9">
        <v>0</v>
      </c>
      <c r="D25" s="9">
        <v>0</v>
      </c>
      <c r="E25" s="9">
        <v>0</v>
      </c>
      <c r="F25" s="9">
        <f>SUM(B25,C25,D25,E25)</f>
        <v>0</v>
      </c>
      <c r="G25" s="9">
        <v>0</v>
      </c>
      <c r="H25" s="9">
        <v>0</v>
      </c>
      <c r="I25" s="9">
        <v>0</v>
      </c>
      <c r="J25" s="9">
        <f>$C$11</f>
        <v>0</v>
      </c>
      <c r="K25" s="9">
        <f>SUM(G25,H25,I25,J25)</f>
        <v>0</v>
      </c>
      <c r="L25" s="9">
        <f>$D$11</f>
        <v>0</v>
      </c>
      <c r="M25" s="9">
        <f>$D$11</f>
        <v>0</v>
      </c>
      <c r="N25" s="9">
        <f>$D$11</f>
        <v>0</v>
      </c>
      <c r="O25" s="9">
        <f>$D$11</f>
        <v>0</v>
      </c>
      <c r="P25" s="9">
        <f>SUM(L25,M25,N25,O25)</f>
        <v>0</v>
      </c>
      <c r="Q25" s="9">
        <f>$E$11</f>
        <v>0</v>
      </c>
      <c r="R25" s="9">
        <f>$E$11</f>
        <v>0</v>
      </c>
      <c r="S25" s="9">
        <f>$E$11</f>
        <v>0</v>
      </c>
      <c r="T25" s="9">
        <f>$E$11</f>
        <v>0</v>
      </c>
      <c r="U25" s="9">
        <f>SUM(Q25,R25,S25,T25)</f>
        <v>0</v>
      </c>
    </row>
    <row r="26" spans="1:21" x14ac:dyDescent="0.25">
      <c r="A26" s="5" t="s">
        <v>42</v>
      </c>
      <c r="B26">
        <f>B23+B25</f>
        <v>40902.7</v>
      </c>
      <c r="C26">
        <f>C23+C25</f>
        <v>31461.729999999996</v>
      </c>
      <c r="D26">
        <f>D23+D25</f>
        <v>28226.740000000005</v>
      </c>
      <c r="E26">
        <f>E23+E25</f>
        <v>32463.951999999997</v>
      </c>
      <c r="F26">
        <f>SUM(B26,C26,D26,E26)</f>
        <v>133055.122</v>
      </c>
      <c r="G26">
        <f>G23+G25</f>
        <v>50899.59999999999</v>
      </c>
      <c r="H26">
        <f>H23+H25</f>
        <v>35886.119999999995</v>
      </c>
      <c r="I26">
        <f>I23+I25</f>
        <v>35709.4</v>
      </c>
      <c r="J26">
        <f>J23+J25</f>
        <v>35030.885</v>
      </c>
      <c r="K26">
        <f>SUM(G26,H26,I26,J26)</f>
        <v>157526.005</v>
      </c>
      <c r="L26">
        <f>L23+L25</f>
        <v>55477.51999999999</v>
      </c>
      <c r="M26">
        <f>M23+M25</f>
        <v>37689.12000000001</v>
      </c>
      <c r="N26">
        <f>N23+N25</f>
        <v>36502.479999999996</v>
      </c>
      <c r="O26">
        <f>O23+O25</f>
        <v>38918.99592</v>
      </c>
      <c r="P26">
        <f>SUM(L26,M26,N26,O26)</f>
        <v>168588.11592</v>
      </c>
      <c r="Q26">
        <f>Q23+Q25</f>
        <v>59779.394</v>
      </c>
      <c r="R26">
        <f>R23+R25</f>
        <v>40546.71360000002</v>
      </c>
      <c r="S26">
        <f>S23+S25</f>
        <v>39261.92680000001</v>
      </c>
      <c r="T26">
        <f>T23+T25</f>
        <v>41880.00879720001</v>
      </c>
      <c r="U26">
        <f>SUM(Q26,R26,S26,T26)</f>
        <v>181468.04319720005</v>
      </c>
    </row>
    <row r="27" spans="1:21" x14ac:dyDescent="0.25">
      <c r="A27" s="5" t="s">
        <v>43</v>
      </c>
      <c r="B27">
        <f>B26-B29</f>
        <v>4602.699999999997</v>
      </c>
      <c r="C27">
        <f>C26-C29</f>
        <v>6681.729999999996</v>
      </c>
      <c r="D27">
        <f>D26-D29</f>
        <v>4792.740000000005</v>
      </c>
      <c r="E27">
        <f>E26-E29</f>
        <v>4967.9519999999975</v>
      </c>
      <c r="F27">
        <f>SUM(B27,C27,D27,E27)</f>
        <v>21045.121999999996</v>
      </c>
      <c r="G27">
        <f>G26-G29</f>
        <v>8799.599999999991</v>
      </c>
      <c r="H27">
        <f>H26-H29</f>
        <v>6306.119999999995</v>
      </c>
      <c r="I27">
        <f>I26-I29</f>
        <v>5920.4000000000015</v>
      </c>
      <c r="J27">
        <f>J26*$C$9</f>
        <v>5780.096025000001</v>
      </c>
      <c r="K27">
        <f>SUM(G27,H27,I27,J27)</f>
        <v>26806.216024999987</v>
      </c>
      <c r="L27">
        <f>L26*$D$9</f>
        <v>8876.403199999999</v>
      </c>
      <c r="M27">
        <f>M26*$D$9</f>
        <v>6030.259200000001</v>
      </c>
      <c r="N27">
        <f>N26*$D$9</f>
        <v>5840.3967999999995</v>
      </c>
      <c r="O27">
        <f>O26*$D$9</f>
        <v>6227.0393472000005</v>
      </c>
      <c r="P27">
        <f>SUM(L27,M27,N27,O27)</f>
        <v>26974.0985472</v>
      </c>
      <c r="Q27">
        <f>Q26*$E$9</f>
        <v>9564.70304</v>
      </c>
      <c r="R27">
        <f>R26*$E$9</f>
        <v>6487.474176000003</v>
      </c>
      <c r="S27">
        <f>S26*$E$9</f>
        <v>6281.908288000001</v>
      </c>
      <c r="T27">
        <f>T26*$E$9</f>
        <v>6700.801407552002</v>
      </c>
      <c r="U27">
        <f>SUM(Q27,R27,S27,T27)</f>
        <v>29034.886911552006</v>
      </c>
    </row>
    <row r="28" spans="1:21" x14ac:dyDescent="0.25">
      <c r="A28" s="5" t="s">
        <v>44</v>
      </c>
      <c r="B28">
        <f>B27/B26</f>
        <v>0.11252802382238819</v>
      </c>
      <c r="C28">
        <f>C27/C26</f>
        <v>0.21237643320948965</v>
      </c>
      <c r="D28">
        <f>D27/D26</f>
        <v>0.16979431560286468</v>
      </c>
      <c r="E28">
        <f>E27/E26</f>
        <v>0.15302979748121848</v>
      </c>
      <c r="F28">
        <f>F27/F26</f>
        <v>0.15816844690879314</v>
      </c>
      <c r="G28">
        <f>G27/G26</f>
        <v>0.17288151576829666</v>
      </c>
      <c r="H28">
        <f>H27/H26</f>
        <v>0.17572587953225358</v>
      </c>
      <c r="I28">
        <f>I27/I26</f>
        <v>0.1657938806028665</v>
      </c>
      <c r="J28">
        <f>J27/J26</f>
        <v>0.165</v>
      </c>
      <c r="K28">
        <f>K27/K26</f>
        <v>0.17017010000983637</v>
      </c>
      <c r="L28">
        <f>L27/L26</f>
        <v>0.16</v>
      </c>
      <c r="M28">
        <f>M27/M26</f>
        <v>0.16</v>
      </c>
      <c r="N28">
        <f>N27/N26</f>
        <v>0.16</v>
      </c>
      <c r="O28">
        <f>O27/O26</f>
        <v>0.16</v>
      </c>
      <c r="P28">
        <f>P27/P26</f>
        <v>0.15999999999999998</v>
      </c>
      <c r="Q28">
        <f>Q27/Q26</f>
        <v>0.16</v>
      </c>
      <c r="R28">
        <f>R27/R26</f>
        <v>0.16</v>
      </c>
      <c r="S28">
        <f>S27/S26</f>
        <v>0.16</v>
      </c>
      <c r="T28">
        <f>T27/T26</f>
        <v>0.16</v>
      </c>
      <c r="U28">
        <f>U27/U26</f>
        <v>0.16</v>
      </c>
    </row>
    <row r="29" spans="1:21" x14ac:dyDescent="0.25">
      <c r="A29" s="5" t="s">
        <v>45</v>
      </c>
      <c r="B29">
        <v>36300</v>
      </c>
      <c r="C29">
        <v>24780</v>
      </c>
      <c r="D29">
        <v>23434</v>
      </c>
      <c r="E29">
        <v>27496</v>
      </c>
      <c r="F29">
        <f>SUM(B29,C29,D29,E29)</f>
        <v>112010</v>
      </c>
      <c r="G29">
        <v>42100</v>
      </c>
      <c r="H29">
        <v>29580</v>
      </c>
      <c r="I29">
        <v>29789</v>
      </c>
      <c r="J29">
        <f>J26-J27</f>
        <v>29250.788975000003</v>
      </c>
      <c r="K29">
        <f>SUM(G29,H29,I29,J29)</f>
        <v>130719.788975</v>
      </c>
      <c r="L29">
        <f>L26-L27</f>
        <v>46601.11679999999</v>
      </c>
      <c r="M29">
        <f>M26-M27</f>
        <v>31658.86080000001</v>
      </c>
      <c r="N29">
        <f>N26-N27</f>
        <v>30662.083199999997</v>
      </c>
      <c r="O29">
        <f>O26-O27</f>
        <v>32691.9565728</v>
      </c>
      <c r="P29">
        <f>SUM(L29,M29,N29,O29)</f>
        <v>141614.01737279998</v>
      </c>
      <c r="Q29">
        <f>Q26-Q27</f>
        <v>50214.69096</v>
      </c>
      <c r="R29">
        <f>R26-R27</f>
        <v>34059.239424000014</v>
      </c>
      <c r="S29">
        <f>S26-S27</f>
        <v>32980.01851200001</v>
      </c>
      <c r="T29">
        <f>T26-T27</f>
        <v>35179.20738964801</v>
      </c>
      <c r="U29">
        <f>SUM(Q29,R29,S29,T29)</f>
        <v>152433.15628564803</v>
      </c>
    </row>
    <row r="30" spans="1:21" x14ac:dyDescent="0.25">
      <c r="A30" s="5" t="s">
        <v>46</v>
      </c>
      <c r="B30">
        <f>B29/B17</f>
        <v>0.2920353982300885</v>
      </c>
      <c r="C30">
        <f>C29/C17</f>
        <v>0.25986010759341016</v>
      </c>
      <c r="D30">
        <f>D29/D17</f>
        <v>0.24920243311072354</v>
      </c>
      <c r="E30">
        <f>E29/E17</f>
        <v>0.2683426697636289</v>
      </c>
      <c r="F30">
        <f>F29/F17</f>
        <v>0.2691506412181824</v>
      </c>
      <c r="G30">
        <f>G29/G17</f>
        <v>0.29276773296244785</v>
      </c>
      <c r="H30">
        <f>H29/H17</f>
        <v>0.26600719424460434</v>
      </c>
      <c r="I30">
        <f>I29/I17</f>
        <v>0.2722943327239488</v>
      </c>
      <c r="J30">
        <f>J29/J17</f>
        <v>0.25951658443687753</v>
      </c>
      <c r="K30">
        <f>K29/K17</f>
        <v>0.27398100359328176</v>
      </c>
      <c r="L30">
        <f>L29/L17</f>
        <v>0.3000638541183742</v>
      </c>
      <c r="M30">
        <f>M29/M17</f>
        <v>0.2636129496402878</v>
      </c>
      <c r="N30">
        <f>N29/N17</f>
        <v>0.2595138736542758</v>
      </c>
      <c r="O30">
        <f>O29/O17</f>
        <v>0.26856207877380167</v>
      </c>
      <c r="P30">
        <f>P29/P17</f>
        <v>0.2748283951419434</v>
      </c>
      <c r="Q30">
        <f>Q29/Q17</f>
        <v>0.30217906634488595</v>
      </c>
      <c r="R30">
        <f>R29/R17</f>
        <v>0.26504683654945205</v>
      </c>
      <c r="S30">
        <f>S29/S17</f>
        <v>0.2608711423207109</v>
      </c>
      <c r="T30">
        <f>T29/T17</f>
        <v>0.2700884727695737</v>
      </c>
      <c r="U30">
        <f>U29/U17</f>
        <v>0.2764719165464658</v>
      </c>
    </row>
    <row r="31" spans="1:21" x14ac:dyDescent="0.25">
      <c r="A31" s="5" t="s">
        <v>47</v>
      </c>
      <c r="B31" s="10">
        <f>B29/B32</f>
        <v>2.4</v>
      </c>
      <c r="C31" s="10">
        <f>C29/C32</f>
        <v>1.6500199760287655</v>
      </c>
      <c r="D31" s="10">
        <f>D29/D32</f>
        <v>1.5677013647310678</v>
      </c>
      <c r="E31" s="10">
        <f>E29/E32</f>
        <v>1.8515824915824917</v>
      </c>
      <c r="F31" s="10">
        <f>F29/F32</f>
        <v>7.474683438714736</v>
      </c>
      <c r="G31" s="10">
        <f>G29/G32</f>
        <v>2.839989206691851</v>
      </c>
      <c r="H31" s="10">
        <f>H29/H32</f>
        <v>2.010057080728459</v>
      </c>
      <c r="I31" s="10">
        <f>I29/I32</f>
        <v>2.024396873938158</v>
      </c>
      <c r="J31" s="10">
        <f>J29/J32</f>
        <v>2.003814953536724</v>
      </c>
      <c r="K31" s="10">
        <f>K29/K32</f>
        <v>8.884562451414594</v>
      </c>
      <c r="L31" s="10">
        <f>L29/L32</f>
        <v>3.224232139150649</v>
      </c>
      <c r="M31" s="10">
        <f>M29/M32</f>
        <v>2.2064845380224565</v>
      </c>
      <c r="N31" s="10">
        <f>N29/N32</f>
        <v>2.137158712982566</v>
      </c>
      <c r="O31" s="10">
        <f>O29/O32</f>
        <v>2.2969753054134747</v>
      </c>
      <c r="P31" s="10">
        <f>P29/P32</f>
        <v>9.871799677219396</v>
      </c>
      <c r="Q31" s="10">
        <f>Q29/Q32</f>
        <v>3.5633309213376467</v>
      </c>
      <c r="R31" s="10">
        <f>R29/R32</f>
        <v>2.4346466260609163</v>
      </c>
      <c r="S31" s="10">
        <f>S29/S32</f>
        <v>2.3576612047575876</v>
      </c>
      <c r="T31" s="10">
        <f>T29/T32</f>
        <v>2.5351102278126887</v>
      </c>
      <c r="U31" s="10">
        <f>U29/U32</f>
        <v>10.898454545200623</v>
      </c>
    </row>
    <row r="32" spans="1:21" x14ac:dyDescent="0.25">
      <c r="A32" s="5" t="s">
        <v>48</v>
      </c>
      <c r="B32" s="11">
        <v>15125</v>
      </c>
      <c r="C32" s="11">
        <v>15018</v>
      </c>
      <c r="D32" s="11">
        <v>14948</v>
      </c>
      <c r="E32" s="11">
        <v>14850</v>
      </c>
      <c r="F32" s="11">
        <f>AVERAGE(B32,C32,D32,E32)</f>
        <v>14985.25</v>
      </c>
      <c r="G32" s="11">
        <v>14824</v>
      </c>
      <c r="H32" s="11">
        <v>14716</v>
      </c>
      <c r="I32" s="11">
        <v>14715</v>
      </c>
      <c r="J32" s="11">
        <f>E32*(1+$C$10)</f>
        <v>14597.55</v>
      </c>
      <c r="K32" s="11">
        <f>AVERAGE(G32,H32,I32,J32)</f>
        <v>14713.1375</v>
      </c>
      <c r="L32" s="11">
        <f>G32*(1+$D$10)</f>
        <v>14453.4</v>
      </c>
      <c r="M32" s="11">
        <f>H32*(1+$D$10)</f>
        <v>14348.1</v>
      </c>
      <c r="N32" s="11">
        <f>I32*(1+$D$10)</f>
        <v>14347.125</v>
      </c>
      <c r="O32" s="11">
        <f>J32*(1+$D$10)</f>
        <v>14232.611249999998</v>
      </c>
      <c r="P32" s="11">
        <f>AVERAGE(L32,M32,N32,O32)</f>
        <v>14345.3090625</v>
      </c>
      <c r="Q32" s="11">
        <f>L32*(1+$E$10)</f>
        <v>14092.064999999999</v>
      </c>
      <c r="R32" s="11">
        <f>M32*(1+$E$10)</f>
        <v>13989.3975</v>
      </c>
      <c r="S32" s="11">
        <f>N32*(1+$E$10)</f>
        <v>13988.446875</v>
      </c>
      <c r="T32" s="11">
        <f>O32*(1+$E$10)</f>
        <v>13876.795968749997</v>
      </c>
      <c r="U32" s="11">
        <f>AVERAGE(Q32,R32,S32,T32)</f>
        <v>13986.676335937498</v>
      </c>
    </row>
  </sheetData>
  <mergeCells count="8">
    <mergeCell ref="A1:U1"/>
    <mergeCell ref="A2:U2"/>
    <mergeCell ref="A4:U4"/>
    <mergeCell ref="A13:U13"/>
    <mergeCell ref="B14:F14"/>
    <mergeCell ref="G14:K14"/>
    <mergeCell ref="L14:P14"/>
    <mergeCell ref="Q14:U1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2026-08-17T15:30:35Z</dcterms:created>
  <dcterms:modified xsi:type="dcterms:W3CDTF">2026-08-17T15:30:35Z</dcterms:modified>
</cp:coreProperties>
</file>