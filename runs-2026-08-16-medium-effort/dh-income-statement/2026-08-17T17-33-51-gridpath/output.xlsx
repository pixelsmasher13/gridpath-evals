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#,##0.0;(#,##0.0);-"/>
  </numFmts>
  <fonts x14ac:knownFonts="1" count="10">
    <font>
      <color theme="1"/>
      <family val="2"/>
      <scheme val="minor"/>
      <sz val="11"/>
      <name val="Calibri"/>
    </font>
    <font>
      <b/>
      <color theme="1"/>
      <family val="2"/>
      <sz val="14"/>
      <name val="Calibri"/>
    </font>
    <font>
      <i/>
      <family val="2"/>
      <scheme val="minor"/>
      <name val="Calibri"/>
      <color rgb="FF555555"/>
      <sz val="9"/>
    </font>
    <font>
      <b/>
      <family val="2"/>
      <scheme val="minor"/>
      <sz val="11"/>
      <name val="Calibri"/>
      <color rgb="FFFFFFFF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i/>
      <family val="2"/>
      <color rgb="FF808080"/>
      <sz val="8"/>
      <name val="Calibri"/>
    </font>
    <font>
      <family val="2"/>
      <scheme val="minor"/>
      <sz val="11"/>
      <name val="Calibri"/>
      <color rgb="FF0000FF"/>
    </font>
    <font>
      <i/>
      <family val="2"/>
      <scheme val="minor"/>
      <sz val="11"/>
      <name val="Calibri"/>
      <color rgb="FF0000FF"/>
    </font>
    <font>
      <i/>
      <family val="2"/>
      <scheme val="minor"/>
      <sz val="11"/>
      <name val="Calibri"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5" fillId="3" borderId="0" xfId="0" applyFont="1" applyFill="1"/>
    <xf numFmtId="0" fontId="6" fillId="0" borderId="0" xfId="0" applyFont="1" applyFill="1" applyAlignment="1">
      <alignment wrapText="1"/>
    </xf>
    <xf numFmtId="0" fontId="0" fillId="3" borderId="0" xfId="0" applyFill="1"/>
    <xf numFmtId="164" fontId="7" fillId="0" borderId="0" xfId="0" applyFont="1" applyFill="1" applyNumberFormat="1"/>
    <xf numFmtId="164" fontId="0" fillId="0" borderId="0" xfId="0" applyFill="1" applyNumberFormat="1"/>
    <xf numFmtId="165" fontId="0" fillId="0" borderId="0" xfId="0" applyFill="1" applyNumberFormat="1"/>
    <xf numFmtId="164" fontId="8" fillId="0" borderId="0" xfId="0" applyFont="1" applyFill="1" applyNumberFormat="1"/>
    <xf numFmtId="164" fontId="9" fillId="0" borderId="0" xfId="0" applyFont="1" applyFill="1" applyNumberFormat="1"/>
    <xf numFmtId="166" fontId="7" fillId="0" borderId="0" xfId="0" applyFont="1" applyFill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4" topLeftCell="B5" activePane="bottomRight" state="frozen"/>
    </sheetView>
  </sheetViews>
  <sheetFormatPr defaultRowHeight="15" outlineLevelRow="0" outlineLevelCol="0" x14ac:dyDescent="55"/>
  <cols>
    <col min="1" max="1" width="47.86" customWidth="1"/>
    <col min="2" max="2" width="12.86" customWidth="1"/>
    <col min="3" max="3" width="12.86" customWidth="1"/>
    <col min="4" max="4" width="12.86" customWidth="1"/>
    <col min="5" max="5" width="12.86" customWidth="1"/>
    <col min="6" max="6" width="12.86" customWidth="1"/>
    <col min="7" max="7" width="12.86" customWidth="1"/>
    <col min="8" max="8" width="12.86" customWidth="1"/>
    <col min="9" max="9" width="12.86" customWidth="1"/>
  </cols>
  <sheetData>
    <row r="1" ht="16.5" customHeight="1">
      <c r="A1" s="1" t="inlineStr">
        <is>
          <t xml:space="preserve">Delivery Hero SE — Consolidated Income Statement &amp; Growth Detail (€ millions unless noted)</t>
        </is>
      </c>
    </row>
    <row r="2">
      <c r="A2" s="2" t="inlineStr">
        <is>
          <t xml:space="preserve">IFRS consolidated figures (aggregator-sourced, self-consistent series); GMV / Total Segment Revenue / Adj. EBITDA are Alternative Performance Measures reported by the Company</t>
        </is>
      </c>
    </row>
    <row r="4">
      <c r="A4" s="3"/>
      <c r="B4" s="3" t="inlineStr">
        <is>
          <t xml:space="preserve">FY2022A</t>
        </is>
      </c>
      <c r="C4" s="3" t="inlineStr">
        <is>
          <t xml:space="preserve">FY2023A</t>
        </is>
      </c>
      <c r="D4" s="3" t="inlineStr">
        <is>
          <t xml:space="preserve">FY2024A</t>
        </is>
      </c>
      <c r="E4" s="3" t="inlineStr">
        <is>
          <t xml:space="preserve">FY2025A</t>
        </is>
      </c>
      <c r="F4" s="3" t="inlineStr">
        <is>
          <t xml:space="preserve">FY23 YoY%</t>
        </is>
      </c>
      <c r="G4" s="3" t="inlineStr">
        <is>
          <t xml:space="preserve">FY24 YoY%</t>
        </is>
      </c>
      <c r="H4" s="3" t="inlineStr">
        <is>
          <t xml:space="preserve">FY25 YoY%</t>
        </is>
      </c>
      <c r="I4" s="3" t="inlineStr">
        <is>
          <t xml:space="preserve">CAGR '22-'25</t>
        </is>
      </c>
    </row>
    <row r="5">
      <c r="A5" s="4" t="inlineStr">
        <is>
          <t xml:space="preserve">Total Revenue</t>
        </is>
      </c>
      <c r="B5" s="9">
        <v>8580</v>
      </c>
      <c r="C5" s="9">
        <v>9940</v>
      </c>
      <c r="D5" s="9">
        <v>12290</v>
      </c>
      <c r="E5" s="9">
        <v>14060</v>
      </c>
      <c r="F5" s="11">
        <f>IFERROR(C5/B5-1,"")</f>
        <v>0.15850815850815847</v>
      </c>
      <c r="G5" s="11">
        <f>IFERROR(D5/C5-1,"")</f>
        <v>0.23641851106639833</v>
      </c>
      <c r="H5" s="11">
        <f>IFERROR(E5/D5-1,"")</f>
        <v>0.144019528071603</v>
      </c>
      <c r="I5" s="11">
        <f>IFERROR((E5/B5)^(1/3)-1,"")</f>
        <v>0.17896074318283572</v>
      </c>
    </row>
    <row r="6">
      <c r="A6" s="4" t="inlineStr">
        <is>
          <t xml:space="preserve">Cost of Revenue</t>
        </is>
      </c>
      <c r="B6" s="9">
        <v>6350</v>
      </c>
      <c r="C6" s="9">
        <v>6970</v>
      </c>
      <c r="D6" s="9">
        <v>8970</v>
      </c>
      <c r="E6" s="9">
        <v>10630</v>
      </c>
      <c r="F6" s="11">
        <f>IFERROR(C6/B6-1,"")</f>
        <v>0.09763779527559048</v>
      </c>
      <c r="G6" s="11">
        <f>IFERROR(D6/C6-1,"")</f>
        <v>0.2869440459110473</v>
      </c>
      <c r="H6" s="11">
        <f>IFERROR(E6/D6-1,"")</f>
        <v>0.18506131549609808</v>
      </c>
      <c r="I6" s="11">
        <f>IFERROR((E6/B6)^(1/3)-1,"")</f>
        <v>0.18737120624977743</v>
      </c>
    </row>
    <row r="7">
      <c r="A7" s="5" t="inlineStr">
        <is>
          <t xml:space="preserve">Gross Profit</t>
        </is>
      </c>
      <c r="B7" s="10">
        <f>B5-B6</f>
        <v>2230</v>
      </c>
      <c r="C7" s="10">
        <f>C5-C6</f>
        <v>2970</v>
      </c>
      <c r="D7" s="10">
        <f>D5-D6</f>
        <v>3320</v>
      </c>
      <c r="E7" s="10">
        <f>E5-E6</f>
        <v>3430</v>
      </c>
      <c r="F7" s="11">
        <f>IFERROR(C7/B7-1,"")</f>
        <v>0.3318385650224216</v>
      </c>
      <c r="G7" s="11">
        <f>IFERROR(D7/C7-1,"")</f>
        <v>0.11784511784511786</v>
      </c>
      <c r="H7" s="11">
        <f>IFERROR(E7/D7-1,"")</f>
        <v>0.033132530120481896</v>
      </c>
      <c r="I7" s="11">
        <f>IFERROR((E7/B7)^(1/3)-1,"")</f>
        <v>0.15432938761684478</v>
      </c>
    </row>
    <row r="8">
      <c r="A8" s="4" t="inlineStr">
        <is>
          <t xml:space="preserve">Gross Margin %</t>
        </is>
      </c>
      <c r="B8" s="11">
        <f>B7/B5</f>
        <v>0.25990675990675993</v>
      </c>
      <c r="C8" s="11">
        <f>C7/C5</f>
        <v>0.2987927565392354</v>
      </c>
      <c r="D8" s="11">
        <f>D7/D5</f>
        <v>0.2701383238405207</v>
      </c>
      <c r="E8" s="11">
        <f>E7/E5</f>
        <v>0.24395448079658605</v>
      </c>
      <c r="F8" s="11"/>
      <c r="G8" s="11"/>
      <c r="H8" s="11"/>
      <c r="I8" s="11"/>
    </row>
    <row r="9">
      <c r="A9" s="4" t="inlineStr">
        <is>
          <t xml:space="preserve">Operating Expenses (SG&amp;A, marketing, admin)</t>
        </is>
      </c>
      <c r="B9" s="9">
        <v>3080</v>
      </c>
      <c r="C9" s="9">
        <v>3160</v>
      </c>
      <c r="D9" s="9">
        <v>2880</v>
      </c>
      <c r="E9" s="9">
        <v>2650</v>
      </c>
      <c r="F9" s="11">
        <f>IFERROR(C9/B9-1,"")</f>
        <v>0.025974025974025983</v>
      </c>
      <c r="G9" s="11">
        <f>IFERROR(D9/C9-1,"")</f>
        <v>-0.08860759493670889</v>
      </c>
      <c r="H9" s="11">
        <f>IFERROR(E9/D9-1,"")</f>
        <v>-0.07986111111111116</v>
      </c>
      <c r="I9" s="11">
        <f>IFERROR((E9/B9)^(1/3)-1,"")</f>
        <v>-0.04888787292402674</v>
      </c>
    </row>
    <row r="10">
      <c r="A10" s="5" t="inlineStr">
        <is>
          <t xml:space="preserve">Operating Income (EBIT)</t>
        </is>
      </c>
      <c r="B10" s="10">
        <f>B7-B9</f>
        <v>-850</v>
      </c>
      <c r="C10" s="10">
        <f>C7-C9</f>
        <v>-190</v>
      </c>
      <c r="D10" s="10">
        <f>D7-D9</f>
        <v>440</v>
      </c>
      <c r="E10" s="10">
        <f>E7-E9</f>
        <v>780</v>
      </c>
      <c r="F10" s="11">
        <f>IFERROR(C10/B10-1,"")</f>
        <v>-0.7764705882352941</v>
      </c>
      <c r="G10" s="11">
        <f>IFERROR(D10/C10-1,"")</f>
        <v>-3.3157894736842106</v>
      </c>
      <c r="H10" s="11">
        <f>IFERROR(E10/D10-1,"")</f>
        <v>0.7727272727272727</v>
      </c>
      <c r="I10" s="11"/>
    </row>
    <row r="11">
      <c r="A11" s="4" t="inlineStr">
        <is>
          <t xml:space="preserve">EBIT Margin %</t>
        </is>
      </c>
      <c r="B11" s="11">
        <f>B10/B5</f>
        <v>-0.09906759906759909</v>
      </c>
      <c r="C11" s="11">
        <f>C10/C5</f>
        <v>-0.019114688128772636</v>
      </c>
      <c r="D11" s="11">
        <f>D10/D5</f>
        <v>0.03580146460537022</v>
      </c>
      <c r="E11" s="11">
        <f>E10/E5</f>
        <v>0.05547652916073969</v>
      </c>
      <c r="F11" s="11"/>
      <c r="G11" s="11"/>
      <c r="H11" s="11"/>
      <c r="I11" s="11"/>
    </row>
    <row r="12">
      <c r="A12" s="4" t="inlineStr">
        <is>
          <t xml:space="preserve">Net Interest Expense</t>
        </is>
      </c>
      <c r="B12" s="9">
        <v>-186.6</v>
      </c>
      <c r="C12" s="9">
        <v>-237.8</v>
      </c>
      <c r="D12" s="9">
        <v>-255</v>
      </c>
      <c r="E12" s="9">
        <v>-287.3</v>
      </c>
      <c r="F12" s="11">
        <f>IFERROR(C12/B12-1,"")</f>
        <v>0.27438370846730975</v>
      </c>
      <c r="G12" s="11">
        <f>IFERROR(D12/C12-1,"")</f>
        <v>0.07232968881412938</v>
      </c>
      <c r="H12" s="11">
        <f>IFERROR(E12/D12-1,"")</f>
        <v>0.1266666666666667</v>
      </c>
      <c r="I12" s="11"/>
    </row>
    <row r="13">
      <c r="A13" s="4" t="inlineStr">
        <is>
          <t xml:space="preserve">Other Non-Operating Items, net (derived plug: impairments, equity-method losses, M&amp;A/legal costs, FX)</t>
        </is>
      </c>
      <c r="B13" s="9">
        <v>-1817</v>
      </c>
      <c r="C13" s="9">
        <v>-1739.6</v>
      </c>
      <c r="D13" s="9">
        <v>-735.9</v>
      </c>
      <c r="E13" s="9">
        <v>-967.1</v>
      </c>
      <c r="F13" s="11">
        <f>IFERROR(C13/B13-1,"")</f>
        <v>-0.042597688497523434</v>
      </c>
      <c r="G13" s="11">
        <f>IFERROR(D13/C13-1,"")</f>
        <v>-0.5769717176362382</v>
      </c>
      <c r="H13" s="11">
        <f>IFERROR(E13/D13-1,"")</f>
        <v>0.31417312134800923</v>
      </c>
      <c r="I13" s="11"/>
    </row>
    <row r="14">
      <c r="A14" s="5" t="inlineStr">
        <is>
          <t xml:space="preserve">Pretax Income (EBT)</t>
        </is>
      </c>
      <c r="B14" s="10">
        <f>B10+B12+B13</f>
        <v>-2853.6</v>
      </c>
      <c r="C14" s="10">
        <f>C10+C12+C13</f>
        <v>-2167.4</v>
      </c>
      <c r="D14" s="10">
        <f>D10+D12+D13</f>
        <v>-550.9</v>
      </c>
      <c r="E14" s="10">
        <f>E10+E12+E13</f>
        <v>-474.4</v>
      </c>
      <c r="F14" s="11">
        <f>IFERROR(C14/B14-1,"")</f>
        <v>-0.2404681805438743</v>
      </c>
      <c r="G14" s="11">
        <f>IFERROR(D14/C14-1,"")</f>
        <v>-0.745824490172557</v>
      </c>
      <c r="H14" s="11">
        <f>IFERROR(E14/D14-1,"")</f>
        <v>-0.13886367761844243</v>
      </c>
      <c r="I14" s="11"/>
    </row>
    <row r="15">
      <c r="A15" s="4" t="inlineStr">
        <is>
          <t xml:space="preserve">Income Tax Expense</t>
        </is>
      </c>
      <c r="B15" s="9">
        <v>141.2</v>
      </c>
      <c r="C15" s="9">
        <v>142.1</v>
      </c>
      <c r="D15" s="9">
        <v>339.3</v>
      </c>
      <c r="E15" s="9">
        <v>230.7</v>
      </c>
      <c r="F15" s="11">
        <f>IFERROR(C15/B15-1,"")</f>
        <v>0.006373937677053965</v>
      </c>
      <c r="G15" s="11">
        <f>IFERROR(D15/C15-1,"")</f>
        <v>1.3877551020408163</v>
      </c>
      <c r="H15" s="11">
        <f>IFERROR(E15/D15-1,"")</f>
        <v>-0.32007073386383733</v>
      </c>
      <c r="I15" s="11">
        <f>IFERROR((E15/B15)^(1/3)-1,"")</f>
        <v>0.1777984160703283</v>
      </c>
    </row>
    <row r="16">
      <c r="A16" s="5" t="inlineStr">
        <is>
          <t xml:space="preserve">Net Income (Loss)</t>
        </is>
      </c>
      <c r="B16" s="10">
        <f>B14-B15</f>
        <v>-2994.7999999999997</v>
      </c>
      <c r="C16" s="10">
        <f>C14-C15</f>
        <v>-2309.5</v>
      </c>
      <c r="D16" s="10">
        <f>D14-D15</f>
        <v>-890.2</v>
      </c>
      <c r="E16" s="10">
        <f>E14-E15</f>
        <v>-705.1</v>
      </c>
      <c r="F16" s="11">
        <f>IFERROR(C16/B16-1,"")</f>
        <v>-0.22882997195138233</v>
      </c>
      <c r="G16" s="11">
        <f>IFERROR(D16/C16-1,"")</f>
        <v>-0.6145486035938514</v>
      </c>
      <c r="H16" s="11">
        <f>IFERROR(E16/D16-1,"")</f>
        <v>-0.20793080206695125</v>
      </c>
      <c r="I16" s="11"/>
    </row>
    <row r="17">
      <c r="A17" s="4" t="inlineStr">
        <is>
          <t xml:space="preserve">Net Margin %</t>
        </is>
      </c>
      <c r="B17" s="11">
        <f>B16/B5</f>
        <v>-0.349044289044289</v>
      </c>
      <c r="C17" s="11">
        <f>C16/C5</f>
        <v>-0.2323440643863179</v>
      </c>
      <c r="D17" s="11">
        <f>D16/D5</f>
        <v>-0.07243287225386494</v>
      </c>
      <c r="E17" s="11">
        <f>E16/E5</f>
        <v>-0.05014935988620199</v>
      </c>
      <c r="F17" s="11"/>
      <c r="G17" s="11"/>
      <c r="H17" s="11"/>
      <c r="I17" s="11"/>
    </row>
    <row r="18">
      <c r="A18" s="4" t="inlineStr">
        <is>
          <t xml:space="preserve">Reported Net Income (per data provider, approx.)</t>
        </is>
      </c>
      <c r="B18" s="12">
        <v>-2984</v>
      </c>
      <c r="C18" s="12">
        <v>-2302</v>
      </c>
      <c r="D18" s="12">
        <v>-882.4</v>
      </c>
      <c r="E18" s="12"/>
      <c r="F18" s="11">
        <f>IFERROR(C18/B18-1,"")</f>
        <v>-0.22855227882037532</v>
      </c>
      <c r="G18" s="11">
        <f>IFERROR(D18/C18-1,"")</f>
        <v>-0.6166811468288445</v>
      </c>
      <c r="H18" s="11"/>
      <c r="I18" s="11"/>
    </row>
    <row r="19">
      <c r="A19" s="4" t="inlineStr">
        <is>
          <t xml:space="preserve">Check: Net Income vs. reported (should be ~0)</t>
        </is>
      </c>
      <c r="B19" s="13">
        <f>B16-B18</f>
        <v>-10.799999999999727</v>
      </c>
      <c r="C19" s="13">
        <f>C16-C18</f>
        <v>-7.5</v>
      </c>
      <c r="D19" s="13">
        <f>D16-D18</f>
        <v>-7.800000000000068</v>
      </c>
      <c r="E19" s="13"/>
      <c r="F19" s="11"/>
      <c r="G19" s="11"/>
      <c r="H19" s="11"/>
      <c r="I19" s="11"/>
    </row>
    <row r="20">
      <c r="A20" s="4"/>
    </row>
    <row r="21">
      <c r="A21" s="6" t="inlineStr">
        <is>
          <t xml:space="preserve">Key Growth &amp; Operating Metrics</t>
        </is>
      </c>
      <c r="B21" s="8"/>
      <c r="C21" s="8"/>
      <c r="D21" s="8"/>
      <c r="E21" s="8"/>
      <c r="F21" s="8"/>
      <c r="G21" s="8"/>
      <c r="H21" s="8"/>
      <c r="I21" s="8"/>
    </row>
    <row r="22">
      <c r="A22" s="4" t="inlineStr">
        <is>
          <t xml:space="preserve">Gross Merchandise Value, GMV (€bn)</t>
        </is>
      </c>
      <c r="B22" s="14">
        <v>44.6</v>
      </c>
      <c r="C22" s="14"/>
      <c r="D22" s="14">
        <v>48.8</v>
      </c>
      <c r="E22" s="14">
        <v>49.2</v>
      </c>
      <c r="F22" s="11"/>
      <c r="G22" s="11">
        <f>IFERROR(D22/C22-1,"")</f>
      </c>
      <c r="H22" s="11">
        <f>IFERROR(E22/D22-1,"")</f>
        <v>0.00819672131147553</v>
      </c>
      <c r="I22" s="11">
        <f>IFERROR((E22/B22)^(1/3)-1,"")</f>
        <v>0.03326110448115838</v>
      </c>
    </row>
    <row r="23">
      <c r="A23" s="4" t="inlineStr">
        <is>
          <t xml:space="preserve">GMV YoY Growth % (as reported, LFL where noted)</t>
        </is>
      </c>
      <c r="B23" s="11"/>
      <c r="C23" s="11"/>
      <c r="D23" s="11"/>
      <c r="E23" s="11"/>
      <c r="F23" s="11"/>
      <c r="G23" s="11"/>
      <c r="H23" s="11">
        <v>0.09</v>
      </c>
      <c r="I23" s="11"/>
    </row>
    <row r="24">
      <c r="A24" s="4" t="inlineStr">
        <is>
          <t xml:space="preserve">Total Segment Revenue (€bn)</t>
        </is>
      </c>
      <c r="B24" s="14">
        <v>9.6</v>
      </c>
      <c r="C24" s="14"/>
      <c r="D24" s="14">
        <v>12.8</v>
      </c>
      <c r="E24" s="14">
        <v>14.8</v>
      </c>
      <c r="F24" s="11"/>
      <c r="G24" s="11">
        <f>IFERROR(D24/C24-1,"")</f>
      </c>
      <c r="H24" s="11">
        <f>IFERROR(E24/D24-1,"")</f>
        <v>0.15625</v>
      </c>
      <c r="I24" s="11">
        <f>IFERROR((E24/B24)^(1/3)-1,"")</f>
        <v>0.15521679473813488</v>
      </c>
    </row>
    <row r="25">
      <c r="A25" s="4" t="inlineStr">
        <is>
          <t xml:space="preserve">Total Segment Revenue YoY Growth % (LFL, constant currency, ex-hyperinflation)</t>
        </is>
      </c>
      <c r="B25" s="11"/>
      <c r="C25" s="11"/>
      <c r="D25" s="11"/>
      <c r="E25" s="11"/>
      <c r="F25" s="11"/>
      <c r="G25" s="11"/>
      <c r="H25" s="11">
        <v>0.231</v>
      </c>
      <c r="I25" s="11"/>
    </row>
    <row r="26">
      <c r="A26" s="4" t="inlineStr">
        <is>
          <t xml:space="preserve">Take Rate (Total Segment Revenue / GMV)</t>
        </is>
      </c>
      <c r="B26" s="11">
        <f>IFERROR(B24/B22,"")</f>
        <v>0.21524663677130043</v>
      </c>
      <c r="C26" s="11">
        <f>IFERROR(C24/C22,"")</f>
      </c>
      <c r="D26" s="11">
        <f>IFERROR(D24/D22,"")</f>
        <v>0.26229508196721313</v>
      </c>
      <c r="E26" s="11">
        <f>IFERROR(E24/E22,"")</f>
        <v>0.30081300813008127</v>
      </c>
      <c r="F26" s="11"/>
      <c r="G26" s="11"/>
      <c r="H26" s="11"/>
      <c r="I26" s="11"/>
    </row>
    <row r="27">
      <c r="A27" s="4" t="inlineStr">
        <is>
          <t xml:space="preserve">Adjusted EBITDA (€m)</t>
        </is>
      </c>
      <c r="B27" s="9"/>
      <c r="C27" s="9">
        <v>254</v>
      </c>
      <c r="D27" s="9">
        <v>692.5</v>
      </c>
      <c r="E27" s="9">
        <v>903</v>
      </c>
      <c r="F27" s="11">
        <f>IFERROR(C27/B27-1,"")</f>
      </c>
      <c r="G27" s="11">
        <f>IFERROR(D27/C27-1,"")</f>
        <v>1.7263779527559056</v>
      </c>
      <c r="H27" s="11">
        <f>IFERROR(E27/D27-1,"")</f>
        <v>0.3039711191335741</v>
      </c>
      <c r="I27" s="11">
        <f>IFERROR((E27/B27)^(1/3)-1,"")</f>
      </c>
    </row>
    <row r="28">
      <c r="A28" s="4" t="inlineStr">
        <is>
          <t xml:space="preserve">Adjusted EBITDA YoY Growth %</t>
        </is>
      </c>
      <c r="B28" s="11"/>
      <c r="C28" s="11"/>
      <c r="D28" s="11"/>
      <c r="E28" s="11"/>
      <c r="F28" s="11"/>
      <c r="G28" s="11"/>
      <c r="H28" s="11"/>
      <c r="I28" s="11"/>
    </row>
    <row r="29">
      <c r="A29" s="4" t="inlineStr">
        <is>
          <t xml:space="preserve">Adjusted EBITDA Margin (% of GMV)</t>
        </is>
      </c>
      <c r="B29" s="11">
        <f>IFERROR(B27/(B22*1000),"")</f>
        <v>0</v>
      </c>
      <c r="C29" s="11">
        <f>IFERROR(C27/(C22*1000),"")</f>
      </c>
      <c r="D29" s="11">
        <f>IFERROR(D27/(D22*1000),"")</f>
        <v>0.014190573770491804</v>
      </c>
      <c r="E29" s="11">
        <f>IFERROR(E27/(E22*1000),"")</f>
        <v>0.018353658536585365</v>
      </c>
      <c r="F29" s="11"/>
      <c r="G29" s="11"/>
      <c r="H29" s="11"/>
      <c r="I29" s="11"/>
    </row>
    <row r="30">
      <c r="A30" s="4"/>
    </row>
    <row r="31" ht="45.01" customHeight="1">
      <c r="A31" s="7" t="inlineStr">
        <is>
          <t xml:space="preserve">Sources &amp; Notes: GAAP P&amp;L series (Revenue, COGS, GP, OpEx, EBIT, Net Interest, Tax) sourced from Yahoo Finance aggregator (self-consistent FY22-FY25). 'Other Non-Operating Items' is a derived plug = Reported Pretax Income − EBIT − Net Interest (covers impairments, equity-method investment losses, M&amp;A/legal costs incl. EU antitrust fine &amp; Glovo litigation, FX). GMV / Total Segment Revenue / Adj. EBITDA are Company-reported APMs from FY2025 trading update (Feb 27, 2026) and FY2024 trading update (Feb 13, 2025) press releases. FY2023 GMV/Segment Revenue not sourced this session — left blank. Figures are approximate; company's official Annual Report (IFRS) is the primary source for precision-sensitive use.</t>
        </is>
      </c>
    </row>
  </sheetData>
  <mergeCells count="1"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2026-08-17T17:33:51Z</dcterms:created>
  <dcterms:modified xsi:type="dcterms:W3CDTF">2026-08-17T17:33:51Z</dcterms:modified>
</cp:coreProperties>
</file>