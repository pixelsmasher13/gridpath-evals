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(#,##0);-"/>
    <numFmt numFmtId="165" formatCode="0.0%;(0.0%);-"/>
    <numFmt numFmtId="166" formatCode="#,##0.0;(#,##0.0);-"/>
    <numFmt numFmtId="167" formatCode="0.00%;(0.00%);-"/>
  </numFmts>
  <fonts x14ac:knownFonts="1" count="9">
    <font>
      <color theme="1"/>
      <family val="2"/>
      <scheme val="minor"/>
      <sz val="11"/>
      <name val="Calibri"/>
    </font>
    <font>
      <b/>
      <color theme="1"/>
      <family val="2"/>
      <scheme val="minor"/>
      <name val="Calibri"/>
      <sz val="14"/>
    </font>
    <font>
      <i/>
      <color theme="1"/>
      <family val="2"/>
      <scheme val="minor"/>
      <name val="Calibri"/>
      <sz val="10"/>
    </font>
    <font>
      <b/>
      <family val="2"/>
      <scheme val="minor"/>
      <sz val="11"/>
      <name val="Calibri"/>
      <color rgb="FFFFFFFF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  <color rgb="FF0000FF"/>
    </font>
    <font>
      <b/>
      <family val="2"/>
      <scheme val="minor"/>
      <sz val="11"/>
      <name val="Calibri"/>
      <color rgb="FF0000FF"/>
    </font>
    <font>
      <i/>
      <family val="2"/>
      <scheme val="minor"/>
      <sz val="11"/>
      <name val="Calibri"/>
      <color rgb="FF808080"/>
    </font>
    <font>
      <i/>
      <family val="2"/>
      <scheme val="minor"/>
      <name val="Calibri"/>
      <color rgb="FF555555"/>
      <sz val="9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2" borderId="0" xfId="0" applyFont="1" applyFill="1"/>
    <xf numFmtId="0" fontId="0" fillId="2" borderId="0" xfId="0" applyFill="1"/>
    <xf numFmtId="0" fontId="4" fillId="3" borderId="0" xfId="0" applyFont="1" applyFill="1"/>
    <xf numFmtId="0" fontId="0" fillId="0" borderId="0" xfId="0" applyFont="1" applyFill="1"/>
    <xf numFmtId="0" fontId="4" fillId="0" borderId="0" xfId="0" applyFont="1" applyFill="1"/>
    <xf numFmtId="164" fontId="5" fillId="0" borderId="0" xfId="0" applyFont="1" applyFill="1" applyNumberFormat="1"/>
    <xf numFmtId="164" fontId="6" fillId="0" borderId="0" xfId="0" applyFont="1" applyFill="1" applyNumberFormat="1"/>
    <xf numFmtId="164" fontId="4" fillId="0" borderId="0" xfId="0" applyFont="1" applyFill="1" applyNumberFormat="1"/>
    <xf numFmtId="164" fontId="0" fillId="0" borderId="0" xfId="0" applyFill="1" applyNumberFormat="1"/>
    <xf numFmtId="164" fontId="7" fillId="0" borderId="0" xfId="0" applyFont="1" applyFill="1" applyNumberFormat="1"/>
    <xf numFmtId="165" fontId="0" fillId="0" borderId="0" xfId="0" applyFill="1" applyNumberFormat="1"/>
    <xf numFmtId="166" fontId="6" fillId="0" borderId="0" xfId="0" applyFont="1" applyFill="1" applyNumberFormat="1"/>
    <xf numFmtId="167" fontId="0" fillId="0" borderId="0" xfId="0" applyFill="1" applyNumberFormat="1"/>
    <xf numFmtId="0" fontId="8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4" topLeftCell="B5" activePane="bottomRight" state="frozen"/>
    </sheetView>
  </sheetViews>
  <sheetFormatPr defaultRowHeight="15" outlineLevelRow="0" outlineLevelCol="0" x14ac:dyDescent="55"/>
  <cols>
    <col min="1" max="1" width="46.43" customWidth="1"/>
    <col min="2" max="2" width="15" customWidth="1"/>
    <col min="3" max="3" width="15" customWidth="1"/>
    <col min="4" max="4" width="15" customWidth="1"/>
    <col min="5" max="5" width="15" customWidth="1"/>
  </cols>
  <sheetData>
    <row r="1">
      <c r="A1" s="1" t="inlineStr">
        <is>
          <t xml:space="preserve">Delivery Hero SE — Income Statement &amp; Growth Analysis (€ in millions, unless noted)</t>
        </is>
      </c>
    </row>
    <row r="2">
      <c r="A2" s="2" t="inlineStr">
        <is>
          <t xml:space="preserve">IFRS Consolidated Income Statement, FY ends Dec 31. Figures hardcoded from company reports / aggregated filings (see Sources &amp; Notes).</t>
        </is>
      </c>
    </row>
    <row r="4">
      <c r="A4" s="3"/>
      <c r="B4" s="3" t="inlineStr">
        <is>
          <t xml:space="preserve">FY2022A</t>
        </is>
      </c>
      <c r="C4" s="3" t="inlineStr">
        <is>
          <t xml:space="preserve">FY2023A</t>
        </is>
      </c>
      <c r="D4" s="3" t="inlineStr">
        <is>
          <t xml:space="preserve">FY2024A</t>
        </is>
      </c>
      <c r="E4" s="3" t="inlineStr">
        <is>
          <t xml:space="preserve">FY2025A</t>
        </is>
      </c>
    </row>
    <row r="5">
      <c r="A5" s="6" t="inlineStr">
        <is>
          <t xml:space="preserve">Revenue</t>
        </is>
      </c>
      <c r="B5" s="8">
        <v>8580</v>
      </c>
      <c r="C5" s="8">
        <v>9940</v>
      </c>
      <c r="D5" s="8">
        <v>12290</v>
      </c>
      <c r="E5" s="8">
        <v>14060</v>
      </c>
    </row>
    <row r="6">
      <c r="A6" s="6" t="inlineStr">
        <is>
          <t xml:space="preserve">% growth YoY</t>
        </is>
      </c>
      <c r="B6" s="13"/>
      <c r="C6" s="13">
        <f>C5/B5-1</f>
        <v>0.15850815850815847</v>
      </c>
      <c r="D6" s="13">
        <f>D5/C5-1</f>
        <v>0.23641851106639833</v>
      </c>
      <c r="E6" s="13">
        <f>E5/D5-1</f>
        <v>0.144019528071603</v>
      </c>
    </row>
    <row r="7">
      <c r="A7" s="6" t="inlineStr">
        <is>
          <t xml:space="preserve">Cost of revenue</t>
        </is>
      </c>
      <c r="B7" s="8">
        <v>6350</v>
      </c>
      <c r="C7" s="8">
        <v>6970</v>
      </c>
      <c r="D7" s="8">
        <v>8970</v>
      </c>
      <c r="E7" s="8">
        <v>10630</v>
      </c>
    </row>
    <row r="8">
      <c r="A8" s="7" t="inlineStr">
        <is>
          <t xml:space="preserve">Gross profit</t>
        </is>
      </c>
      <c r="B8" s="10">
        <f>B5-B7</f>
        <v>2230</v>
      </c>
      <c r="C8" s="10">
        <f>C5-C7</f>
        <v>2970</v>
      </c>
      <c r="D8" s="10">
        <f>D5-D7</f>
        <v>3320</v>
      </c>
      <c r="E8" s="10">
        <f>E5-E7</f>
        <v>3430</v>
      </c>
    </row>
    <row r="9">
      <c r="A9" s="6" t="inlineStr">
        <is>
          <t xml:space="preserve">Gross margin %</t>
        </is>
      </c>
      <c r="B9" s="13">
        <f>B8/B5</f>
        <v>0.25990675990675993</v>
      </c>
      <c r="C9" s="13">
        <f>C8/C5</f>
        <v>0.2987927565392354</v>
      </c>
      <c r="D9" s="13">
        <f>D8/D5</f>
        <v>0.2701383238405207</v>
      </c>
      <c r="E9" s="13">
        <f>E8/E5</f>
        <v>0.24395448079658605</v>
      </c>
    </row>
    <row r="10">
      <c r="A10" s="6" t="inlineStr">
        <is>
          <t xml:space="preserve">Operating expenses (derived)</t>
        </is>
      </c>
      <c r="B10" s="11">
        <f>B8-B11</f>
        <v>3076.4</v>
      </c>
      <c r="C10" s="11">
        <f>C8-C11</f>
        <v>3152.6</v>
      </c>
      <c r="D10" s="11">
        <f>D8-D11</f>
        <v>2871.5</v>
      </c>
      <c r="E10" s="11">
        <f>E8-E11</f>
        <v>2643.2</v>
      </c>
    </row>
    <row r="11">
      <c r="A11" s="7" t="inlineStr">
        <is>
          <t xml:space="preserve">Operating income (EBIT)</t>
        </is>
      </c>
      <c r="B11" s="8">
        <v>-846.4</v>
      </c>
      <c r="C11" s="8">
        <v>-182.6</v>
      </c>
      <c r="D11" s="8">
        <v>448.5</v>
      </c>
      <c r="E11" s="8">
        <v>786.8</v>
      </c>
    </row>
    <row r="12">
      <c r="A12" s="6" t="inlineStr">
        <is>
          <t xml:space="preserve">Operating margin %</t>
        </is>
      </c>
      <c r="B12" s="13">
        <f>B11/B5</f>
        <v>-0.09864801864801864</v>
      </c>
      <c r="C12" s="13">
        <f>C11/C5</f>
        <v>-0.018370221327967805</v>
      </c>
      <c r="D12" s="13">
        <f>D11/D5</f>
        <v>0.03649308380797396</v>
      </c>
      <c r="E12" s="13">
        <f>E11/E5</f>
        <v>0.0559601706970128</v>
      </c>
    </row>
    <row r="13">
      <c r="A13" s="6" t="inlineStr">
        <is>
          <t xml:space="preserve">Other non-operating items (derived: impairments, FX, equity-method losses, etc.)</t>
        </is>
      </c>
      <c r="B13" s="11">
        <f>B15-B11-B14</f>
        <v>-1817</v>
      </c>
      <c r="C13" s="11">
        <f>C15-C11-C14</f>
        <v>-1739.6</v>
      </c>
      <c r="D13" s="11">
        <f>D15-D11-D14</f>
        <v>-735.9</v>
      </c>
      <c r="E13" s="11">
        <f>E15-E11-E14</f>
        <v>-967.1</v>
      </c>
    </row>
    <row r="14">
      <c r="A14" s="6" t="inlineStr">
        <is>
          <t xml:space="preserve">Net interest income/(expense)</t>
        </is>
      </c>
      <c r="B14" s="8">
        <v>-186.6</v>
      </c>
      <c r="C14" s="8">
        <v>-237.8</v>
      </c>
      <c r="D14" s="8">
        <v>-255</v>
      </c>
      <c r="E14" s="8">
        <v>-287.3</v>
      </c>
    </row>
    <row r="15">
      <c r="A15" s="6" t="inlineStr">
        <is>
          <t xml:space="preserve">Pretax income (EBT)</t>
        </is>
      </c>
      <c r="B15" s="8">
        <v>-2850</v>
      </c>
      <c r="C15" s="8">
        <v>-2160</v>
      </c>
      <c r="D15" s="8">
        <v>-542.4</v>
      </c>
      <c r="E15" s="8">
        <v>-467.6</v>
      </c>
    </row>
    <row r="16">
      <c r="A16" s="6" t="inlineStr">
        <is>
          <t xml:space="preserve">Income tax expense</t>
        </is>
      </c>
      <c r="B16" s="8">
        <v>141.2</v>
      </c>
      <c r="C16" s="8">
        <v>142.1</v>
      </c>
      <c r="D16" s="8">
        <v>339.3</v>
      </c>
      <c r="E16" s="8">
        <v>230.7</v>
      </c>
    </row>
    <row r="17">
      <c r="A17" s="6" t="inlineStr">
        <is>
          <t xml:space="preserve">Effective tax rate %</t>
        </is>
      </c>
      <c r="B17" s="13">
        <f>IF(B15=0,0,-B16/B15)</f>
        <v>0.0495438596491228</v>
      </c>
      <c r="C17" s="13">
        <f>IF(C15=0,0,-C16/C15)</f>
        <v>0.06578703703703703</v>
      </c>
      <c r="D17" s="13">
        <f>IF(D15=0,0,-D16/D15)</f>
        <v>0.6255530973451328</v>
      </c>
      <c r="E17" s="13">
        <f>IF(E15=0,0,-E16/E15)</f>
        <v>0.4933704020530367</v>
      </c>
    </row>
    <row r="18">
      <c r="A18" s="7" t="inlineStr">
        <is>
          <t xml:space="preserve">Net income (Group, before NCI)</t>
        </is>
      </c>
      <c r="B18" s="10">
        <f>B15-B16</f>
        <v>-2991.2</v>
      </c>
      <c r="C18" s="10">
        <f>C15-C16</f>
        <v>-2302.1</v>
      </c>
      <c r="D18" s="10">
        <f>D15-D16</f>
        <v>-881.7</v>
      </c>
      <c r="E18" s="10">
        <f>E15-E16</f>
        <v>-698.3</v>
      </c>
    </row>
    <row r="19">
      <c r="A19" s="6" t="inlineStr">
        <is>
          <t xml:space="preserve">Non-controlling interests (derived)</t>
        </is>
      </c>
      <c r="B19" s="11">
        <f>B18-B20</f>
        <v>18.800000000000185</v>
      </c>
      <c r="C19" s="11">
        <f>C18-C20</f>
        <v>-2.099999999999909</v>
      </c>
      <c r="D19" s="11">
        <f>D18-D20</f>
        <v>0.6999999999999318</v>
      </c>
      <c r="E19" s="11">
        <f>E18-E20</f>
        <v>84.60000000000002</v>
      </c>
    </row>
    <row r="20">
      <c r="A20" s="7" t="inlineStr">
        <is>
          <t xml:space="preserve">Net income attributable to DH SE shareholders</t>
        </is>
      </c>
      <c r="B20" s="9">
        <v>-3010</v>
      </c>
      <c r="C20" s="9">
        <v>-2300</v>
      </c>
      <c r="D20" s="9">
        <v>-882.4</v>
      </c>
      <c r="E20" s="9">
        <v>-782.9</v>
      </c>
    </row>
    <row r="21">
      <c r="A21" s="6" t="inlineStr">
        <is>
          <t xml:space="preserve">Net margin % (attributable)</t>
        </is>
      </c>
      <c r="B21" s="13">
        <f>B20/B5</f>
        <v>-0.3508158508158508</v>
      </c>
      <c r="C21" s="13">
        <f>C20/C5</f>
        <v>-0.2313883299798793</v>
      </c>
      <c r="D21" s="13">
        <f>D20/D5</f>
        <v>-0.07179820992676973</v>
      </c>
      <c r="E21" s="13">
        <f>E20/E5</f>
        <v>-0.0556827880512091</v>
      </c>
    </row>
    <row r="22">
      <c r="A22" s="6" t="inlineStr">
        <is>
          <t xml:space="preserve">Check (Group NI − NCI − Attributable NI, should be 0)</t>
        </is>
      </c>
      <c r="B22" s="12">
        <f>B18-B19-B20</f>
        <v>0</v>
      </c>
      <c r="C22" s="12">
        <f>C18-C19-C20</f>
        <v>0</v>
      </c>
      <c r="D22" s="12">
        <f>D18-D19-D20</f>
        <v>0</v>
      </c>
      <c r="E22" s="12">
        <f>E18-E19-E20</f>
        <v>0</v>
      </c>
    </row>
    <row r="24">
      <c r="A24" s="3" t="inlineStr">
        <is>
          <t xml:space="preserve">Growth &amp; Operating KPIs</t>
        </is>
      </c>
      <c r="B24" s="4"/>
      <c r="C24" s="4"/>
      <c r="D24" s="4"/>
      <c r="E24" s="4"/>
    </row>
    <row r="25">
      <c r="A25" t="inlineStr">
        <is>
          <t xml:space="preserve">GMV (€bn)</t>
        </is>
      </c>
      <c r="B25" s="14">
        <v>44.6</v>
      </c>
      <c r="C25" s="14">
        <v>45.06</v>
      </c>
      <c r="D25" s="14">
        <v>48.8</v>
      </c>
      <c r="E25" s="14">
        <v>49.2</v>
      </c>
    </row>
    <row r="26">
      <c r="A26" t="inlineStr">
        <is>
          <t xml:space="preserve">GMV growth % YoY</t>
        </is>
      </c>
      <c r="B26" s="13"/>
      <c r="C26" s="13">
        <f>C25/B25-1</f>
        <v>0.010313901345291532</v>
      </c>
      <c r="D26" s="13">
        <f>D25/C25-1</f>
        <v>0.08300044385264083</v>
      </c>
      <c r="E26" s="13">
        <f>E25/D25-1</f>
        <v>0.00819672131147553</v>
      </c>
    </row>
    <row r="27">
      <c r="A27" t="inlineStr">
        <is>
          <t xml:space="preserve">Total Segment Revenue (€bn)</t>
        </is>
      </c>
      <c r="B27" s="14">
        <v>9.6</v>
      </c>
      <c r="C27" s="14">
        <v>10.49</v>
      </c>
      <c r="D27" s="14">
        <v>12.8</v>
      </c>
      <c r="E27" s="14">
        <v>14.8</v>
      </c>
    </row>
    <row r="28">
      <c r="A28" t="inlineStr">
        <is>
          <t xml:space="preserve">Total Segment Revenue growth % YoY</t>
        </is>
      </c>
      <c r="B28" s="13"/>
      <c r="C28" s="13">
        <f>C27/B27-1</f>
        <v>0.0927083333333334</v>
      </c>
      <c r="D28" s="13">
        <f>D27/C27-1</f>
        <v>0.22020972354623455</v>
      </c>
      <c r="E28" s="13">
        <f>E27/D27-1</f>
        <v>0.15625</v>
      </c>
    </row>
    <row r="29">
      <c r="A29" t="inlineStr">
        <is>
          <t xml:space="preserve">Adjusted EBITDA (€m)</t>
        </is>
      </c>
      <c r="B29" s="8"/>
      <c r="C29" s="8">
        <v>254</v>
      </c>
      <c r="D29" s="8">
        <v>692.5</v>
      </c>
      <c r="E29" s="8">
        <v>900</v>
      </c>
    </row>
    <row r="30">
      <c r="A30" t="inlineStr">
        <is>
          <t xml:space="preserve">Adjusted EBITDA margin (% of GMV)</t>
        </is>
      </c>
      <c r="B30" s="15">
        <f>IF(B29="","",B29/(B25*1000))</f>
      </c>
      <c r="C30" s="15">
        <f>IF(C29="","",C29/(C25*1000))</f>
        <v>0.005636928539724811</v>
      </c>
      <c r="D30" s="15">
        <f>IF(D29="","",D29/(D25*1000))</f>
        <v>0.014190573770491804</v>
      </c>
      <c r="E30" s="15">
        <f>IF(E29="","",E29/(E25*1000))</f>
        <v>0.018292682926829267</v>
      </c>
    </row>
    <row r="32">
      <c r="A32" s="5" t="inlineStr">
        <is>
          <t xml:space="preserve">Sources &amp; Notes</t>
        </is>
      </c>
    </row>
    <row r="33" ht="22.51" customHeight="1">
      <c r="A33" s="16" t="inlineStr">
        <is>
          <t xml:space="preserve">Revenue, COGS, Operating income, Net interest, Pretax income, Tax, and Net income attributable are hardcoded from IFRS consolidated income statement (company FY reports / Yahoo Finance aggregation of filings), FY2022–FY2025.</t>
        </is>
      </c>
    </row>
    <row r="34" ht="22.51" customHeight="1">
      <c r="A34" s="16" t="inlineStr">
        <is>
          <t xml:space="preserve">"Operating expenses (derived)" and "Other non-operating items (derived)" are computed plugs that reconcile Gross Profit to reported EBIT, and EBIT to reported Pretax Income, respectively (the latter driven mainly by goodwill/investment impairments, FX and equity-method results — not separately itemized here).</t>
        </is>
      </c>
    </row>
    <row r="35" ht="22.51" customHeight="1">
      <c r="A35" s="16" t="inlineStr">
        <is>
          <t xml:space="preserve">"Non-controlling interests (derived)" reconciles Group net income (Pretax − Tax) to reported Net income attributable to DH SE shareholders.</t>
        </is>
      </c>
    </row>
    <row r="36" ht="22.51" customHeight="1">
      <c r="A36" s="16" t="inlineStr">
        <is>
          <t xml:space="preserve">FY2023 GMV and Total Segment Revenue are back-solved from reported FY2024 YoY growth rates (8.3% and 22% respectively) as exact FY2023 figures were not separately located.</t>
        </is>
      </c>
    </row>
    <row r="37" ht="22.51" customHeight="1">
      <c r="A37" s="16" t="inlineStr">
        <is>
          <t xml:space="preserve">FY2025 Adjusted EBITDA reported as "&gt;€900m" (Feb 2026 trading update); FY2022 Adjusted EBITDA not disclosed on a comparable basis and left blank.</t>
        </is>
      </c>
    </row>
    <row r="38" ht="22.51" customHeight="1">
      <c r="A38" s="16" t="inlineStr">
        <is>
          <t xml:space="preserve">Total Segment Revenue and GMV are non-IFRS operating KPIs used by management; they differ in scope from IFRS Revenue (e.g. exclude/include different marketplace elements) and are shown for growth context alongside the IFRS P&amp;L above.</t>
        </is>
      </c>
    </row>
  </sheetData>
  <mergeCells count="2">
    <mergeCell ref="A24:E24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2026-08-17T17:26:31Z</dcterms:created>
  <dcterms:modified xsi:type="dcterms:W3CDTF">2026-08-17T17:26:31Z</dcterms:modified>
</cp:coreProperties>
</file>