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;(#,##0.0);&quot;-&quot;"/>
    <numFmt numFmtId="165" formatCode="0.0%;(0.0%);&quot;-&quot;"/>
    <numFmt numFmtId="166" formatCode="0.00;(0.00);&quot;-&quot;"/>
    <numFmt numFmtId="167" formatCode="#,##0.0"/>
  </numFmts>
  <fonts x14ac:knownFonts="1" count="7">
    <font>
      <color theme="1"/>
      <family val="2"/>
      <scheme val="minor"/>
      <sz val="11"/>
      <name val="Calibri"/>
    </font>
    <font>
      <b/>
      <family val="2"/>
      <scheme val="minor"/>
      <name val="Calibri"/>
      <color rgb="FFFFFFFF"/>
      <sz val="14"/>
    </font>
    <font>
      <i/>
      <color theme="1"/>
      <family val="2"/>
      <scheme val="minor"/>
      <name val="Calibri"/>
      <sz val="9"/>
    </font>
    <font>
      <b/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  <color rgb="FF0000FF"/>
    </font>
    <font>
      <b/>
      <family val="2"/>
      <scheme val="minor"/>
      <sz val="11"/>
      <name val="Calibri"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 applyFill="1" applyAlignment="1">
      <alignment wrapText="1"/>
    </xf>
    <xf numFmtId="0" fontId="3" fillId="2" borderId="0" xfId="0" applyFont="1" applyFill="1"/>
    <xf numFmtId="0" fontId="4" fillId="3" borderId="0" xfId="0" applyFont="1" applyFill="1" applyAlignment="1">
      <alignment horizontal="center"/>
    </xf>
    <xf numFmtId="164" fontId="5" fillId="0" borderId="0" xfId="0" applyFont="1" applyFill="1" applyNumberFormat="1"/>
    <xf numFmtId="164" fontId="0" fillId="0" borderId="0" xfId="0" applyFill="1" applyNumberFormat="1"/>
    <xf numFmtId="164" fontId="6" fillId="0" borderId="0" xfId="0" applyFont="1" applyFill="1" applyNumberFormat="1"/>
    <xf numFmtId="165" fontId="0" fillId="0" borderId="0" xfId="0" applyFill="1" applyNumberFormat="1"/>
    <xf numFmtId="166" fontId="5" fillId="0" borderId="0" xfId="0" applyFont="1" applyFill="1" applyNumberFormat="1"/>
    <xf numFmtId="167" fontId="5" fillId="0" borderId="0" xfId="0" applyFont="1" applyFill="1" applyNumberForma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topLeftCell="B1" activePane="topRight" state="frozen"/>
    </sheetView>
  </sheetViews>
  <sheetFormatPr defaultRowHeight="15" outlineLevelRow="0" outlineLevelCol="0" x14ac:dyDescent="55"/>
  <cols>
    <col min="1" max="1" width="46.43" customWidth="1"/>
    <col min="2" max="2" width="15.71" customWidth="1"/>
    <col min="3" max="3" width="15.71" customWidth="1"/>
    <col min="4" max="4" width="15.71" customWidth="1"/>
    <col min="5" max="5" width="15.71" customWidth="1"/>
    <col min="6" max="6" width="15.71" customWidth="1"/>
  </cols>
  <sheetData>
    <row r="1">
      <c r="A1" s="1" t="inlineStr">
        <is>
          <t xml:space="preserve">Delivery Hero SE — Income Statement &amp; Growth Analysis</t>
        </is>
      </c>
      <c r="B1" s="2"/>
      <c r="C1" s="2"/>
      <c r="D1" s="2"/>
      <c r="E1" s="2"/>
      <c r="F1" s="2"/>
    </row>
    <row r="2" ht="24.01" customHeight="1">
      <c r="A2" s="3" t="inlineStr">
        <is>
          <t xml:space="preserve">€ millions unless noted. Sources: Delivery Hero FY trading updates/press releases (GMV, Total Segment Revenue, Adj. EBITDA); consolidated IFRS historicals (FY2021–FY2024) via TipRanks aggregator, DE:DHER listing.</t>
        </is>
      </c>
    </row>
    <row r="4">
      <c r="A4" s="4" t="inlineStr">
        <is>
          <t xml:space="preserve">Section A: Consolidated IFRS Income Statement (Reported)</t>
        </is>
      </c>
      <c r="B4" s="2"/>
      <c r="C4" s="2"/>
      <c r="D4" s="2"/>
      <c r="E4" s="2"/>
      <c r="F4" s="2"/>
    </row>
    <row r="5">
      <c r="A5" s="5"/>
      <c r="B5" s="5" t="inlineStr">
        <is>
          <t xml:space="preserve">FY2021A</t>
        </is>
      </c>
      <c r="C5" s="5" t="inlineStr">
        <is>
          <t xml:space="preserve">FY2022A</t>
        </is>
      </c>
      <c r="D5" s="5" t="inlineStr">
        <is>
          <t xml:space="preserve">FY2023A</t>
        </is>
      </c>
      <c r="E5" s="5" t="inlineStr">
        <is>
          <t xml:space="preserve">FY2024A</t>
        </is>
      </c>
      <c r="F5" s="5"/>
    </row>
    <row r="6">
      <c r="A6" s="12" t="inlineStr">
        <is>
          <t xml:space="preserve">Revenue</t>
        </is>
      </c>
      <c r="B6" s="6">
        <v>5860</v>
      </c>
      <c r="C6" s="6">
        <v>8580</v>
      </c>
      <c r="D6" s="6">
        <v>9940</v>
      </c>
      <c r="E6" s="6">
        <v>12290</v>
      </c>
    </row>
    <row r="7">
      <c r="A7" t="inlineStr">
        <is>
          <t xml:space="preserve">  % YoY growth</t>
        </is>
      </c>
      <c r="B7" s="9"/>
      <c r="C7" s="9">
        <f>(C6-B6)/B6</f>
        <v>0.4641638225255973</v>
      </c>
      <c r="D7" s="9">
        <f>(D6-C6)/C6</f>
        <v>0.1585081585081585</v>
      </c>
      <c r="E7" s="9">
        <f>(E6-D6)/D6</f>
        <v>0.2364185110663984</v>
      </c>
    </row>
    <row r="8">
      <c r="A8" t="inlineStr">
        <is>
          <t xml:space="preserve">Gross Profit</t>
        </is>
      </c>
      <c r="B8" s="6">
        <v>1260</v>
      </c>
      <c r="C8" s="6">
        <v>2230</v>
      </c>
      <c r="D8" s="6">
        <v>2970</v>
      </c>
      <c r="E8" s="6">
        <v>3330</v>
      </c>
    </row>
    <row r="9">
      <c r="A9" t="inlineStr">
        <is>
          <t xml:space="preserve">  Gross margin %</t>
        </is>
      </c>
      <c r="B9" s="9">
        <f>B8/B6</f>
        <v>0.2150170648464164</v>
      </c>
      <c r="C9" s="9">
        <f>C8/C6</f>
        <v>0.25990675990675993</v>
      </c>
      <c r="D9" s="9">
        <f>D8/D6</f>
        <v>0.2987927565392354</v>
      </c>
      <c r="E9" s="9">
        <f>E8/E6</f>
        <v>0.2709519934906428</v>
      </c>
    </row>
    <row r="10">
      <c r="A10" t="inlineStr">
        <is>
          <t xml:space="preserve">Operating Expenses</t>
        </is>
      </c>
      <c r="B10" s="6">
        <v>2340</v>
      </c>
      <c r="C10" s="6">
        <v>3080</v>
      </c>
      <c r="D10" s="6">
        <v>4630</v>
      </c>
      <c r="E10" s="6">
        <v>3670</v>
      </c>
    </row>
    <row r="11">
      <c r="A11" t="inlineStr">
        <is>
          <t xml:space="preserve">EBITDA (EBIT + D&amp;A, computed)</t>
        </is>
      </c>
      <c r="B11" s="7">
        <f>B14+B13</f>
        <v>-722.1</v>
      </c>
      <c r="C11" s="7">
        <f>C14+C13</f>
        <v>-357.9</v>
      </c>
      <c r="D11" s="7">
        <f>D14+D13</f>
        <v>-1184.9</v>
      </c>
      <c r="E11" s="7">
        <f>E14+E13</f>
        <v>53</v>
      </c>
    </row>
    <row r="12">
      <c r="A12" t="inlineStr">
        <is>
          <t xml:space="preserve">  EBITDA margin %</t>
        </is>
      </c>
      <c r="B12" s="9">
        <f>B11/B6</f>
        <v>-0.12322525597269623</v>
      </c>
      <c r="C12" s="9">
        <f>C11/C6</f>
        <v>-0.04171328671328671</v>
      </c>
      <c r="D12" s="9">
        <f>D11/D6</f>
        <v>-0.11920523138833</v>
      </c>
      <c r="E12" s="9">
        <f>E11/E6</f>
        <v>0.004312449145646867</v>
      </c>
    </row>
    <row r="13">
      <c r="A13" t="inlineStr">
        <is>
          <t xml:space="preserve">D&amp;A (memo)</t>
        </is>
      </c>
      <c r="B13" s="6">
        <v>367.9</v>
      </c>
      <c r="C13" s="6">
        <v>488.5</v>
      </c>
      <c r="D13" s="6">
        <v>475.1</v>
      </c>
      <c r="E13" s="6">
        <v>509</v>
      </c>
    </row>
    <row r="14">
      <c r="A14" t="inlineStr">
        <is>
          <t xml:space="preserve">Operating Income (EBIT)</t>
        </is>
      </c>
      <c r="B14" s="6">
        <v>-1090</v>
      </c>
      <c r="C14" s="6">
        <v>-846.4</v>
      </c>
      <c r="D14" s="6">
        <v>-1660</v>
      </c>
      <c r="E14" s="6">
        <v>-456</v>
      </c>
    </row>
    <row r="15">
      <c r="A15" t="inlineStr">
        <is>
          <t xml:space="preserve">  EBIT margin %</t>
        </is>
      </c>
      <c r="B15" s="9">
        <f>B14/B6</f>
        <v>-0.18600682593856657</v>
      </c>
      <c r="C15" s="9">
        <f>C14/C6</f>
        <v>-0.09864801864801864</v>
      </c>
      <c r="D15" s="9">
        <f>D14/D6</f>
        <v>-0.16700201207243462</v>
      </c>
      <c r="E15" s="9">
        <f>E14/E6</f>
        <v>-0.0371033360455655</v>
      </c>
    </row>
    <row r="16">
      <c r="A16" t="inlineStr">
        <is>
          <t xml:space="preserve">Other Income / (Expense), net</t>
        </is>
      </c>
      <c r="B16" s="6">
        <v>96.9</v>
      </c>
      <c r="C16" s="6">
        <v>-557.7</v>
      </c>
      <c r="D16" s="6">
        <v>-505.7</v>
      </c>
      <c r="E16" s="6">
        <v>-85.1</v>
      </c>
    </row>
    <row r="17">
      <c r="A17" t="inlineStr">
        <is>
          <t xml:space="preserve">Pretax Income</t>
        </is>
      </c>
      <c r="B17" s="6">
        <v>-958.3</v>
      </c>
      <c r="C17" s="6">
        <v>-2830</v>
      </c>
      <c r="D17" s="6">
        <v>-2160</v>
      </c>
      <c r="E17" s="6">
        <v>-541.1</v>
      </c>
    </row>
    <row r="18">
      <c r="A18" s="12" t="inlineStr">
        <is>
          <t xml:space="preserve">Net Income</t>
        </is>
      </c>
      <c r="B18" s="8">
        <v>-1100</v>
      </c>
      <c r="C18" s="8">
        <v>-2980</v>
      </c>
      <c r="D18" s="8">
        <v>-2300</v>
      </c>
      <c r="E18" s="8">
        <v>-882.4</v>
      </c>
    </row>
    <row r="19">
      <c r="A19" t="inlineStr">
        <is>
          <t xml:space="preserve">  Net margin %</t>
        </is>
      </c>
      <c r="B19" s="9">
        <f>B18/B6</f>
        <v>-0.18771331058020477</v>
      </c>
      <c r="C19" s="9">
        <f>C18/C6</f>
        <v>-0.3473193473193473</v>
      </c>
      <c r="D19" s="9">
        <f>D18/D6</f>
        <v>-0.2313883299798793</v>
      </c>
      <c r="E19" s="9">
        <f>E18/E6</f>
        <v>-0.07179820992676973</v>
      </c>
    </row>
    <row r="20">
      <c r="A20" t="inlineStr">
        <is>
          <t xml:space="preserve">  % YoY growth (improvement)</t>
        </is>
      </c>
      <c r="B20" s="9"/>
      <c r="C20" s="9">
        <f>(C18-B18)/ABS(B18)</f>
        <v>-1.709090909090909</v>
      </c>
      <c r="D20" s="9">
        <f>(D18-C18)/ABS(C18)</f>
        <v>0.22818791946308725</v>
      </c>
      <c r="E20" s="9">
        <f>(E18-D18)/ABS(D18)</f>
        <v>0.6163478260869565</v>
      </c>
    </row>
    <row r="21">
      <c r="A21" t="inlineStr">
        <is>
          <t xml:space="preserve">Basic EPS (€)</t>
        </is>
      </c>
      <c r="B21" s="10">
        <v>-4.46</v>
      </c>
      <c r="C21" s="10">
        <v>-11.15</v>
      </c>
      <c r="D21" s="10">
        <v>-8.57</v>
      </c>
      <c r="E21" s="10">
        <v>-3.1</v>
      </c>
    </row>
    <row r="22">
      <c r="A22" t="inlineStr">
        <is>
          <t xml:space="preserve">Diluted EPS (€)</t>
        </is>
      </c>
      <c r="B22" s="10">
        <v>-4.46</v>
      </c>
      <c r="C22" s="10">
        <v>-11.15</v>
      </c>
      <c r="D22" s="10">
        <v>-8.57</v>
      </c>
      <c r="E22" s="10">
        <v>-3.1</v>
      </c>
    </row>
    <row r="23">
      <c r="A23" t="inlineStr">
        <is>
          <t xml:space="preserve">Weighted avg shares, basic (m)</t>
        </is>
      </c>
      <c r="B23" s="11">
        <v>245.87</v>
      </c>
      <c r="C23" s="11">
        <v>266.77</v>
      </c>
      <c r="D23" s="11">
        <v>268.21</v>
      </c>
      <c r="E23" s="11">
        <v>284.25</v>
      </c>
    </row>
    <row r="25">
      <c r="A25" s="4" t="inlineStr">
        <is>
          <t xml:space="preserve">Section B: Growth KPIs — GMV &amp; Total Segment Revenue</t>
        </is>
      </c>
      <c r="B25" s="2"/>
      <c r="C25" s="2"/>
      <c r="D25" s="2"/>
      <c r="E25" s="2"/>
      <c r="F25" s="2"/>
    </row>
    <row r="26">
      <c r="A26" s="5"/>
      <c r="B26" s="5" t="inlineStr">
        <is>
          <t xml:space="preserve">FY2023A</t>
        </is>
      </c>
      <c r="C26" s="5" t="inlineStr">
        <is>
          <t xml:space="preserve">FY2024A</t>
        </is>
      </c>
      <c r="D26" s="5" t="inlineStr">
        <is>
          <t xml:space="preserve">FY2025A</t>
        </is>
      </c>
      <c r="E26" s="5" t="inlineStr">
        <is>
          <t xml:space="preserve">FY24 YoY %</t>
        </is>
      </c>
      <c r="F26" s="5" t="inlineStr">
        <is>
          <t xml:space="preserve">FY25 YoY %</t>
        </is>
      </c>
    </row>
    <row r="27">
      <c r="A27" t="inlineStr">
        <is>
          <t xml:space="preserve">GMV — Group</t>
        </is>
      </c>
      <c r="B27" s="6">
        <v>45275.2</v>
      </c>
      <c r="C27" s="6">
        <v>48754</v>
      </c>
      <c r="D27" s="6">
        <v>49196.8</v>
      </c>
      <c r="E27" s="9">
        <f>(C27-B27)/B27</f>
        <v>0.07683676714846104</v>
      </c>
      <c r="F27" s="9">
        <f>(D27-C27)/C27</f>
        <v>0.00908233170611648</v>
      </c>
    </row>
    <row r="28">
      <c r="A28" t="inlineStr">
        <is>
          <t xml:space="preserve">  Asia</t>
        </is>
      </c>
      <c r="B28" s="6">
        <v>25354.2</v>
      </c>
      <c r="C28" s="6">
        <v>23407.4</v>
      </c>
      <c r="D28" s="6">
        <v>20779.7</v>
      </c>
      <c r="E28" s="9">
        <f>(C28-B28)/B28</f>
        <v>-0.07678412255168766</v>
      </c>
      <c r="F28" s="9">
        <f>(D28-C28)/C28</f>
        <v>-0.1122593709681554</v>
      </c>
    </row>
    <row r="29">
      <c r="A29" t="inlineStr">
        <is>
          <t xml:space="preserve">  MENA</t>
        </is>
      </c>
      <c r="B29" s="6">
        <v>9959.3</v>
      </c>
      <c r="C29" s="6">
        <v>12825.9</v>
      </c>
      <c r="D29" s="6">
        <v>14644.3</v>
      </c>
      <c r="E29" s="9">
        <f>(C29-B29)/B29</f>
        <v>0.28783147409958537</v>
      </c>
      <c r="F29" s="9">
        <f>(D29-C29)/C29</f>
        <v>0.14177562588200435</v>
      </c>
    </row>
    <row r="30">
      <c r="A30" t="inlineStr">
        <is>
          <t xml:space="preserve">  Europe</t>
        </is>
      </c>
      <c r="B30" s="6">
        <v>7510</v>
      </c>
      <c r="C30" s="6">
        <v>8878.7</v>
      </c>
      <c r="D30" s="6">
        <v>9693.2</v>
      </c>
      <c r="E30" s="9">
        <f>(C30-B30)/B30</f>
        <v>0.1822503328894808</v>
      </c>
      <c r="F30" s="9">
        <f>(D30-C30)/C30</f>
        <v>0.09173640285176884</v>
      </c>
    </row>
    <row r="31">
      <c r="A31" t="inlineStr">
        <is>
          <t xml:space="preserve">  Americas</t>
        </is>
      </c>
      <c r="B31" s="6">
        <v>2451.7</v>
      </c>
      <c r="C31" s="6">
        <v>3642</v>
      </c>
      <c r="D31" s="6">
        <v>4079.6</v>
      </c>
      <c r="E31" s="9">
        <f>(C31-B31)/B31</f>
        <v>0.48549985724191386</v>
      </c>
      <c r="F31" s="9">
        <f>(D31-C31)/C31</f>
        <v>0.12015376166941238</v>
      </c>
    </row>
    <row r="32">
      <c r="A32" t="inlineStr">
        <is>
          <t xml:space="preserve">  Integrated Verticals (GMV, memo)</t>
        </is>
      </c>
      <c r="B32" s="6">
        <v>2224.4</v>
      </c>
      <c r="C32" s="6">
        <v>2904.7</v>
      </c>
      <c r="D32" s="6">
        <v>3432.3</v>
      </c>
      <c r="E32" s="9">
        <f>(C32-B32)/B32</f>
        <v>0.30583528142420413</v>
      </c>
      <c r="F32" s="9">
        <f>(D32-C32)/C32</f>
        <v>0.1816366578304129</v>
      </c>
    </row>
    <row r="34">
      <c r="A34" s="12" t="inlineStr">
        <is>
          <t xml:space="preserve">Total Segment Revenue — Group</t>
        </is>
      </c>
      <c r="B34" s="8">
        <v>10463.2</v>
      </c>
      <c r="C34" s="8">
        <v>12796.4</v>
      </c>
      <c r="D34" s="8">
        <v>14803.4</v>
      </c>
      <c r="E34" s="9">
        <f>(C34-B34)/B34</f>
        <v>0.22299105436195416</v>
      </c>
      <c r="F34" s="9">
        <f>(D34-C34)/C34</f>
        <v>0.15684098652746084</v>
      </c>
    </row>
    <row r="35">
      <c r="A35" t="inlineStr">
        <is>
          <t xml:space="preserve">  Take Rate (TSR / GMV) — Group</t>
        </is>
      </c>
      <c r="B35" s="9">
        <f>B34/B27</f>
        <v>0.23110223698625296</v>
      </c>
      <c r="C35" s="9">
        <f>C34/C27</f>
        <v>0.2624687205152398</v>
      </c>
      <c r="D35" s="9">
        <f>D34/D27</f>
        <v>0.30090168466241707</v>
      </c>
    </row>
    <row r="37">
      <c r="A37" s="4" t="inlineStr">
        <is>
          <t xml:space="preserve">Section C: Profitability &amp; Cash Flow (preliminary FY2025 vs. audited FY2023–24)</t>
        </is>
      </c>
      <c r="B37" s="2"/>
      <c r="C37" s="2"/>
      <c r="D37" s="2"/>
      <c r="E37" s="2"/>
      <c r="F37" s="2"/>
    </row>
    <row r="38">
      <c r="A38" s="5"/>
      <c r="B38" s="5" t="inlineStr">
        <is>
          <t xml:space="preserve">FY2023A</t>
        </is>
      </c>
      <c r="C38" s="5" t="inlineStr">
        <is>
          <t xml:space="preserve">FY2024A</t>
        </is>
      </c>
      <c r="D38" s="5" t="inlineStr">
        <is>
          <t xml:space="preserve">FY2025 (prelim)</t>
        </is>
      </c>
      <c r="E38" s="5"/>
      <c r="F38" s="5"/>
    </row>
    <row r="39">
      <c r="A39" s="12" t="inlineStr">
        <is>
          <t xml:space="preserve">Adjusted EBITDA — Group</t>
        </is>
      </c>
      <c r="B39" s="8">
        <v>253.8</v>
      </c>
      <c r="C39" s="8">
        <v>692.5</v>
      </c>
      <c r="D39" s="8">
        <v>903</v>
      </c>
    </row>
    <row r="40">
      <c r="A40" t="inlineStr">
        <is>
          <t xml:space="preserve">  Adj. EBITDA margin (% of GMV)</t>
        </is>
      </c>
      <c r="B40" s="9">
        <f>B39/B27</f>
        <v>0.005605717920627629</v>
      </c>
      <c r="C40" s="9">
        <f>C39/C27</f>
        <v>0.014203962751774213</v>
      </c>
      <c r="D40" s="9">
        <f>D39/D27</f>
        <v>0.0183548523481202</v>
      </c>
    </row>
    <row r="41">
      <c r="A41" t="inlineStr">
        <is>
          <t xml:space="preserve">  Adj. EBITDA % YoY growth</t>
        </is>
      </c>
      <c r="B41" s="9"/>
      <c r="C41" s="9">
        <f>(C39-B39)/B39</f>
        <v>1.7285263987391646</v>
      </c>
      <c r="D41" s="9">
        <f>(D39-C39)/C39</f>
        <v>0.303971119133574</v>
      </c>
    </row>
    <row r="42">
      <c r="A42" t="inlineStr">
        <is>
          <t xml:space="preserve">Net Income (IFRS, reported)</t>
        </is>
      </c>
      <c r="B42" s="7">
        <f>D18</f>
        <v>-2300</v>
      </c>
      <c r="C42" s="7">
        <f>E18</f>
        <v>-882.4</v>
      </c>
      <c r="D42" s="6">
        <v>-783</v>
      </c>
    </row>
    <row r="43">
      <c r="A43" t="inlineStr">
        <is>
          <t xml:space="preserve">Free Cash Flow — Group (reported floor)</t>
        </is>
      </c>
      <c r="D43" s="6">
        <v>200</v>
      </c>
    </row>
    <row r="45">
      <c r="A45" s="4" t="inlineStr">
        <is>
          <t xml:space="preserve">Notes &amp; Sources</t>
        </is>
      </c>
      <c r="B45" s="2"/>
      <c r="C45" s="2"/>
      <c r="D45" s="2"/>
      <c r="E45" s="2"/>
      <c r="F45" s="2"/>
    </row>
    <row r="46" ht="22.51" customHeight="1">
      <c r="A46" s="3" t="inlineStr">
        <is>
          <t xml:space="preserve">FY2021–FY2024 IFRS income-statement figures per TipRanks aggregator (DE:DHER); minor cross-line rounding vs. audited annual report is possible.</t>
        </is>
      </c>
    </row>
    <row r="47" ht="22.51" customHeight="1">
      <c r="A47" s="3" t="inlineStr">
        <is>
          <t xml:space="preserve">FY2025 GMV, Total Segment Revenue and Adj. EBITDA per Delivery Hero FY2025 trading update (27-Feb-2026); FY2025 Net Income (€783m loss) and Free Cash Flow (&gt;€200m) are company-disclosed preliminary figures.</t>
        </is>
      </c>
    </row>
    <row r="48" ht="22.51" customHeight="1">
      <c r="A48" s="3" t="inlineStr">
        <is>
          <t xml:space="preserve">FY2023 Adjusted EBITDA of €253.8m is derived from disclosed 173% YoY growth to FY2024's audited €692.5m figure (not separately itemized in source material reviewed).</t>
        </is>
      </c>
    </row>
    <row r="49" ht="22.51" customHeight="1">
      <c r="A49" s="3" t="inlineStr">
        <is>
          <t xml:space="preserve">Full FY2025 IFRS Gross Profit / Opex / EBIT breakdown not yet sourced in this session — left blank rather than estimated; consult FY2025 Annual Report for exact figures.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2026-08-17T15:26:03Z</dcterms:created>
  <dcterms:modified xsi:type="dcterms:W3CDTF">2026-08-17T15:26:03Z</dcterms:modified>
</cp:coreProperties>
</file>