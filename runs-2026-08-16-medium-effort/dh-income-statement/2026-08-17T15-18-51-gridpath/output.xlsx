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;(#,##0.0);-"/>
    <numFmt numFmtId="165" formatCode="0.0%;(0.0%);-"/>
  </numFmts>
  <fonts x14ac:knownFonts="1" count="9">
    <font>
      <color theme="1"/>
      <family val="2"/>
      <scheme val="minor"/>
      <sz val="11"/>
      <name val="Calibri"/>
    </font>
    <font>
      <b/>
      <color theme="1"/>
      <family val="2"/>
      <sz val="16"/>
      <name val="Calibri"/>
    </font>
    <font>
      <i/>
      <family val="2"/>
      <scheme val="minor"/>
      <name val="Calibri"/>
      <color rgb="FF555555"/>
      <sz val="9"/>
    </font>
    <font>
      <b/>
      <family val="2"/>
      <scheme val="minor"/>
      <sz val="11"/>
      <name val="Calibri"/>
      <color rgb="FFFFFFFF"/>
    </font>
    <font>
      <family val="2"/>
      <scheme val="minor"/>
      <sz val="11"/>
      <name val="Calibri"/>
      <color rgb="FFFFFFFF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  <color rgb="FF0000FF"/>
    </font>
    <font>
      <i/>
      <family val="2"/>
      <scheme val="minor"/>
      <sz val="11"/>
      <name val="Calibri"/>
      <color rgb="FF444444"/>
    </font>
    <font>
      <i/>
      <family val="2"/>
      <scheme val="minor"/>
      <name val="Calibri"/>
      <color rgb="FF777777"/>
      <sz val="8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5" fillId="0" borderId="0" xfId="0" applyFont="1" applyFill="1"/>
    <xf numFmtId="164" fontId="5" fillId="0" borderId="0" xfId="0" applyFont="1" applyFill="1" applyNumberFormat="1"/>
    <xf numFmtId="164" fontId="6" fillId="0" borderId="0" xfId="0" applyFont="1" applyFill="1" applyNumberFormat="1"/>
    <xf numFmtId="164" fontId="0" fillId="0" borderId="0" xfId="0" applyFill="1" applyNumberFormat="1"/>
    <xf numFmtId="165" fontId="7" fillId="0" borderId="0" xfId="0" applyFont="1" applyFill="1" applyNumberFormat="1"/>
    <xf numFmtId="0" fontId="8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xSplit="1" topLeftCell="B1" activePane="topRight" state="frozen"/>
    </sheetView>
  </sheetViews>
  <sheetFormatPr defaultRowHeight="15" outlineLevelRow="0" outlineLevelCol="0" x14ac:dyDescent="55"/>
  <cols>
    <col min="1" max="1" width="42.14" customWidth="1"/>
    <col min="2" max="2" width="12.86" customWidth="1"/>
    <col min="3" max="3" width="12.86" customWidth="1"/>
    <col min="4" max="4" width="12.86" customWidth="1"/>
    <col min="5" max="5" width="12.86" customWidth="1"/>
    <col min="6" max="6" width="12.86" customWidth="1"/>
  </cols>
  <sheetData>
    <row r="1">
      <c r="A1" s="1" t="inlineStr">
        <is>
          <t xml:space="preserve">Delivery Hero SE — Income Statement &amp; Growth Analysis</t>
        </is>
      </c>
    </row>
    <row r="2">
      <c r="A2" s="2" t="inlineStr">
        <is>
          <t xml:space="preserve">€ in millions unless noted. Source: Delivery Hero SE annual reports; S&amp;P Global / stockanalysis.com aggregated data. FY = calendar year ended Dec 31.</t>
        </is>
      </c>
    </row>
    <row r="4">
      <c r="A4" s="3" t="inlineStr">
        <is>
          <t xml:space="preserve">Revenue by Type</t>
        </is>
      </c>
      <c r="B4" s="4"/>
      <c r="C4" s="4"/>
      <c r="D4" s="4"/>
      <c r="E4" s="4"/>
      <c r="F4" s="4"/>
    </row>
    <row r="5">
      <c r="A5" s="5" t="inlineStr">
        <is>
          <t xml:space="preserve">(€m)</t>
        </is>
      </c>
      <c r="B5" s="5" t="inlineStr">
        <is>
          <t xml:space="preserve">FY2021</t>
        </is>
      </c>
      <c r="C5" s="5" t="inlineStr">
        <is>
          <t xml:space="preserve">FY2022</t>
        </is>
      </c>
      <c r="D5" s="5" t="inlineStr">
        <is>
          <t xml:space="preserve">FY2023</t>
        </is>
      </c>
      <c r="E5" s="5" t="inlineStr">
        <is>
          <t xml:space="preserve">FY2024</t>
        </is>
      </c>
      <c r="F5" s="5" t="inlineStr">
        <is>
          <t xml:space="preserve">FY2025</t>
        </is>
      </c>
    </row>
    <row r="6">
      <c r="A6" t="inlineStr">
        <is>
          <t xml:space="preserve">Commission Fees</t>
        </is>
      </c>
      <c r="B6" s="8">
        <v>3001</v>
      </c>
      <c r="C6" s="8">
        <v>3681</v>
      </c>
      <c r="D6" s="8">
        <v>4099</v>
      </c>
      <c r="E6" s="8">
        <v>5093</v>
      </c>
      <c r="F6" s="8">
        <v>5791</v>
      </c>
    </row>
    <row r="7">
      <c r="A7" t="inlineStr">
        <is>
          <t xml:space="preserve">Delivery Fees</t>
        </is>
      </c>
      <c r="B7" s="8">
        <v>1414</v>
      </c>
      <c r="C7" s="8">
        <v>2202</v>
      </c>
      <c r="D7" s="8">
        <v>2423</v>
      </c>
      <c r="E7" s="8">
        <v>2966</v>
      </c>
      <c r="F7" s="8">
        <v>3309</v>
      </c>
    </row>
    <row r="8">
      <c r="A8" t="inlineStr">
        <is>
          <t xml:space="preserve">Dmarts</t>
        </is>
      </c>
      <c r="B8" s="8">
        <v>848.3</v>
      </c>
      <c r="C8" s="8">
        <v>1560</v>
      </c>
      <c r="D8" s="8">
        <v>1948</v>
      </c>
      <c r="E8" s="8">
        <v>2445</v>
      </c>
      <c r="F8" s="8">
        <v>2888</v>
      </c>
    </row>
    <row r="9">
      <c r="A9" t="inlineStr">
        <is>
          <t xml:space="preserve">Advertising &amp; Listing Fees</t>
        </is>
      </c>
      <c r="B9" s="8">
        <v>0</v>
      </c>
      <c r="C9" s="8">
        <v>1043</v>
      </c>
      <c r="D9" s="8">
        <v>1260</v>
      </c>
      <c r="E9" s="8">
        <v>1438</v>
      </c>
      <c r="F9" s="8">
        <v>1460</v>
      </c>
    </row>
    <row r="10">
      <c r="A10" t="inlineStr">
        <is>
          <t xml:space="preserve">Service Fees</t>
        </is>
      </c>
      <c r="B10" s="8">
        <v>0</v>
      </c>
      <c r="C10" s="8">
        <v>91.4</v>
      </c>
      <c r="D10" s="8">
        <v>197.8</v>
      </c>
      <c r="E10" s="8">
        <v>322.8</v>
      </c>
      <c r="F10" s="8">
        <v>601</v>
      </c>
    </row>
    <row r="11">
      <c r="A11" t="inlineStr">
        <is>
          <t xml:space="preserve">Payment Fees</t>
        </is>
      </c>
      <c r="B11" s="8">
        <v>407.6</v>
      </c>
      <c r="C11" s="8">
        <v>509.9</v>
      </c>
      <c r="D11" s="8">
        <v>530.4</v>
      </c>
      <c r="E11" s="8">
        <v>559.7</v>
      </c>
      <c r="F11" s="8">
        <v>540.8</v>
      </c>
    </row>
    <row r="12">
      <c r="A12" t="inlineStr">
        <is>
          <t xml:space="preserve">Subscription Fees</t>
        </is>
      </c>
      <c r="B12" s="8">
        <v>0</v>
      </c>
      <c r="C12" s="8">
        <v>49.5</v>
      </c>
      <c r="D12" s="8">
        <v>91.4</v>
      </c>
      <c r="E12" s="8">
        <v>139.6</v>
      </c>
      <c r="F12" s="8">
        <v>256.9</v>
      </c>
    </row>
    <row r="13">
      <c r="A13" t="inlineStr">
        <is>
          <t xml:space="preserve">Other Segment Revenue</t>
        </is>
      </c>
      <c r="B13" s="8">
        <v>0</v>
      </c>
      <c r="C13" s="8">
        <v>236.2</v>
      </c>
      <c r="D13" s="8">
        <v>242.2</v>
      </c>
      <c r="E13" s="8">
        <v>214.6</v>
      </c>
      <c r="F13" s="8">
        <v>151.2</v>
      </c>
    </row>
    <row r="14">
      <c r="A14" t="inlineStr">
        <is>
          <t xml:space="preserve">Less: Voucher Deductions</t>
        </is>
      </c>
      <c r="B14" s="8">
        <v>-774.6</v>
      </c>
      <c r="C14" s="8">
        <v>-794.8</v>
      </c>
      <c r="D14" s="8">
        <v>-849.8</v>
      </c>
      <c r="E14" s="8">
        <v>-884.1</v>
      </c>
      <c r="F14" s="8">
        <v>-937.8</v>
      </c>
    </row>
    <row r="15">
      <c r="A15" t="inlineStr">
        <is>
          <t xml:space="preserve">Other / Not Separately Disclosed (FY2021 reporting basis)</t>
        </is>
      </c>
      <c r="B15" s="8">
        <v>959.7</v>
      </c>
      <c r="C15" s="8">
        <v>0</v>
      </c>
      <c r="D15" s="8">
        <v>0</v>
      </c>
      <c r="E15" s="8">
        <v>0</v>
      </c>
      <c r="F15" s="8">
        <v>0</v>
      </c>
    </row>
    <row r="16">
      <c r="A16" s="6" t="inlineStr">
        <is>
          <t xml:space="preserve">Total Revenue</t>
        </is>
      </c>
      <c r="B16" s="7">
        <f>SUM(B6:B15)</f>
        <v>5856</v>
      </c>
      <c r="C16" s="7">
        <f>SUM(C6:C15)</f>
        <v>8578.2</v>
      </c>
      <c r="D16" s="7">
        <f>SUM(D6:D15)</f>
        <v>9942</v>
      </c>
      <c r="E16" s="7">
        <f>SUM(E6:E15)</f>
        <v>12294.6</v>
      </c>
      <c r="F16" s="7">
        <f>SUM(F6:F15)</f>
        <v>14060.1</v>
      </c>
    </row>
    <row r="17">
      <c r="A17" t="inlineStr">
        <is>
          <t xml:space="preserve">  YoY Growth %</t>
        </is>
      </c>
      <c r="B17" s="10"/>
      <c r="C17" s="10">
        <f>IFERROR(C16/B16-1,"")</f>
        <v>0.46485655737704934</v>
      </c>
      <c r="D17" s="10">
        <f>IFERROR(D16/C16-1,"")</f>
        <v>0.15898440232216535</v>
      </c>
      <c r="E17" s="10">
        <f>IFERROR(E16/D16-1,"")</f>
        <v>0.2366324683162342</v>
      </c>
      <c r="F17" s="10">
        <f>IFERROR(F16/E16-1,"")</f>
        <v>0.14359962910546087</v>
      </c>
    </row>
    <row r="19">
      <c r="A19" s="3" t="inlineStr">
        <is>
          <t xml:space="preserve">Income Statement</t>
        </is>
      </c>
      <c r="B19" s="4"/>
      <c r="C19" s="4"/>
      <c r="D19" s="4"/>
      <c r="E19" s="4"/>
      <c r="F19" s="4"/>
    </row>
    <row r="20">
      <c r="A20" s="5" t="inlineStr">
        <is>
          <t xml:space="preserve">(€m)</t>
        </is>
      </c>
      <c r="B20" s="5" t="inlineStr">
        <is>
          <t xml:space="preserve">FY2021</t>
        </is>
      </c>
      <c r="C20" s="5" t="inlineStr">
        <is>
          <t xml:space="preserve">FY2022</t>
        </is>
      </c>
      <c r="D20" s="5" t="inlineStr">
        <is>
          <t xml:space="preserve">FY2023</t>
        </is>
      </c>
      <c r="E20" s="5" t="inlineStr">
        <is>
          <t xml:space="preserve">FY2024</t>
        </is>
      </c>
      <c r="F20" s="5" t="inlineStr">
        <is>
          <t xml:space="preserve">FY2025</t>
        </is>
      </c>
    </row>
    <row r="21">
      <c r="A21" s="6" t="inlineStr">
        <is>
          <t xml:space="preserve">Total Revenue</t>
        </is>
      </c>
      <c r="B21" s="7">
        <f>B16</f>
        <v>5856</v>
      </c>
      <c r="C21" s="7">
        <f>C16</f>
        <v>8578.2</v>
      </c>
      <c r="D21" s="7">
        <f>D16</f>
        <v>9942</v>
      </c>
      <c r="E21" s="7">
        <f>E16</f>
        <v>12294.6</v>
      </c>
      <c r="F21" s="7">
        <f>F16</f>
        <v>14060.1</v>
      </c>
    </row>
    <row r="22">
      <c r="A22" t="inlineStr">
        <is>
          <t xml:space="preserve">  YoY Growth %</t>
        </is>
      </c>
      <c r="B22" s="10"/>
      <c r="C22" s="10">
        <f>IFERROR(C21/B21-1,"")</f>
        <v>0.46485655737704934</v>
      </c>
      <c r="D22" s="10">
        <f>IFERROR(D21/C21-1,"")</f>
        <v>0.15898440232216535</v>
      </c>
      <c r="E22" s="10">
        <f>IFERROR(E21/D21-1,"")</f>
        <v>0.2366324683162342</v>
      </c>
      <c r="F22" s="10">
        <f>IFERROR(F21/E21-1,"")</f>
        <v>0.14359962910546087</v>
      </c>
    </row>
    <row r="23">
      <c r="A23" t="inlineStr">
        <is>
          <t xml:space="preserve">Cost of Revenue (derived)</t>
        </is>
      </c>
      <c r="B23" s="9">
        <f>B24-B21</f>
        <v>-4598</v>
      </c>
      <c r="C23" s="9">
        <f>C24-C21</f>
        <v>-6346.200000000001</v>
      </c>
      <c r="D23" s="9">
        <f>D24-D21</f>
        <v>-6969</v>
      </c>
      <c r="E23" s="9">
        <f>E24-E21</f>
        <v>-8965.6</v>
      </c>
      <c r="F23" s="9">
        <f>F24-F21</f>
        <v>-10627.1</v>
      </c>
    </row>
    <row r="24">
      <c r="A24" s="6" t="inlineStr">
        <is>
          <t xml:space="preserve">Gross Profit</t>
        </is>
      </c>
      <c r="B24" s="7">
        <v>1258</v>
      </c>
      <c r="C24" s="7">
        <v>2232</v>
      </c>
      <c r="D24" s="7">
        <v>2973</v>
      </c>
      <c r="E24" s="7">
        <v>3329</v>
      </c>
      <c r="F24" s="7">
        <v>3433</v>
      </c>
    </row>
    <row r="25">
      <c r="A25" t="inlineStr">
        <is>
          <t xml:space="preserve">  Gross Margin %</t>
        </is>
      </c>
      <c r="B25" s="10">
        <f>IFERROR(B24/B21,"")</f>
        <v>0.2148224043715847</v>
      </c>
      <c r="C25" s="10">
        <f>IFERROR(C24/C21,"")</f>
        <v>0.26019444638735395</v>
      </c>
      <c r="D25" s="10">
        <f>IFERROR(D24/D21,"")</f>
        <v>0.29903439951719973</v>
      </c>
      <c r="E25" s="10">
        <f>IFERROR(E24/E21,"")</f>
        <v>0.2707692808224749</v>
      </c>
      <c r="F25" s="10">
        <f>IFERROR(F24/F21,"")</f>
        <v>0.2441661154614832</v>
      </c>
    </row>
    <row r="26">
      <c r="A26" t="inlineStr">
        <is>
          <t xml:space="preserve">  YoY Growth %</t>
        </is>
      </c>
      <c r="B26" s="10"/>
      <c r="C26" s="10">
        <f>IFERROR(C24/B24-1,"")</f>
        <v>0.7742448330683624</v>
      </c>
      <c r="D26" s="10">
        <f>IFERROR(D24/C24-1,"")</f>
        <v>0.331989247311828</v>
      </c>
      <c r="E26" s="10">
        <f>IFERROR(E24/D24-1,"")</f>
        <v>0.11974436596030946</v>
      </c>
      <c r="F26" s="10">
        <f>IFERROR(F24/E24-1,"")</f>
        <v>0.031240612796635592</v>
      </c>
    </row>
    <row r="27">
      <c r="A27" t="inlineStr">
        <is>
          <t xml:space="preserve">Operating Expenses (derived)</t>
        </is>
      </c>
      <c r="B27" s="9">
        <f>B28-B24</f>
        <v>-2917</v>
      </c>
      <c r="C27" s="9">
        <f>C28-C24</f>
        <v>-3669</v>
      </c>
      <c r="D27" s="9">
        <f>D28-D24</f>
        <v>-3680.4</v>
      </c>
      <c r="E27" s="9">
        <f>E28-E24</f>
        <v>-3590.2</v>
      </c>
      <c r="F27" s="9">
        <f>F28-F24</f>
        <v>-3339.3</v>
      </c>
    </row>
    <row r="28">
      <c r="A28" s="6" t="inlineStr">
        <is>
          <t xml:space="preserve">EBIT (Operating Income)</t>
        </is>
      </c>
      <c r="B28" s="7">
        <v>-1659</v>
      </c>
      <c r="C28" s="7">
        <v>-1437</v>
      </c>
      <c r="D28" s="7">
        <v>-707.4</v>
      </c>
      <c r="E28" s="7">
        <v>-261.2</v>
      </c>
      <c r="F28" s="7">
        <v>93.7</v>
      </c>
    </row>
    <row r="29">
      <c r="A29" t="inlineStr">
        <is>
          <t xml:space="preserve">  Operating Margin %</t>
        </is>
      </c>
      <c r="B29" s="10">
        <f>IFERROR(B28/B21,"")</f>
        <v>-0.2832991803278688</v>
      </c>
      <c r="C29" s="10">
        <f>IFERROR(C28/C21,"")</f>
        <v>-0.16751766104777224</v>
      </c>
      <c r="D29" s="10">
        <f>IFERROR(D28/D21,"")</f>
        <v>-0.07115268557634279</v>
      </c>
      <c r="E29" s="10">
        <f>IFERROR(E28/E21,"")</f>
        <v>-0.021245099474566067</v>
      </c>
      <c r="F29" s="10">
        <f>IFERROR(F28/F21,"")</f>
        <v>0.00666424847618438</v>
      </c>
    </row>
    <row r="30">
      <c r="A30" t="inlineStr">
        <is>
          <t xml:space="preserve">  YoY Growth %</t>
        </is>
      </c>
      <c r="B30" s="10"/>
      <c r="C30" s="10">
        <f>IFERROR(C28/B28-1,"")</f>
        <v>-0.13381555153707048</v>
      </c>
      <c r="D30" s="10">
        <f>IFERROR(D28/C28-1,"")</f>
        <v>-0.5077244258872651</v>
      </c>
      <c r="E30" s="10">
        <f>IFERROR(E28/D28-1,"")</f>
        <v>-0.6307605315238903</v>
      </c>
      <c r="F30" s="10">
        <f>IFERROR(F28/E28-1,"")</f>
        <v>-1.358728943338438</v>
      </c>
    </row>
    <row r="31">
      <c r="A31" t="inlineStr">
        <is>
          <t xml:space="preserve">Other Non-Operating Items (derived plug)</t>
        </is>
      </c>
      <c r="B31" s="9">
        <f>B32-B28</f>
        <v>676.3632</v>
      </c>
      <c r="C31" s="9">
        <f>C32-C28</f>
        <v>-1415.2515000000003</v>
      </c>
      <c r="D31" s="9">
        <f>D32-D28</f>
        <v>-1454.9849999999997</v>
      </c>
      <c r="E31" s="9">
        <f>E32-E28</f>
        <v>-280.99186000000003</v>
      </c>
      <c r="F31" s="9">
        <f>F32-F28</f>
        <v>-561.90133</v>
      </c>
    </row>
    <row r="32">
      <c r="A32" s="6" t="inlineStr">
        <is>
          <t xml:space="preserve">Pretax Income (EBT)</t>
        </is>
      </c>
      <c r="B32" s="7">
        <f>-0.1678*B21</f>
        <v>-982.6368</v>
      </c>
      <c r="C32" s="7">
        <f>-0.3325*C21</f>
        <v>-2852.2515000000003</v>
      </c>
      <c r="D32" s="7">
        <f>-0.2175*D21</f>
        <v>-2162.385</v>
      </c>
      <c r="E32" s="7">
        <f>-0.0441*E21</f>
        <v>-542.19186</v>
      </c>
      <c r="F32" s="7">
        <f>-0.0333*F21</f>
        <v>-468.20133</v>
      </c>
    </row>
    <row r="33">
      <c r="A33" t="inlineStr">
        <is>
          <t xml:space="preserve">  Pretax Margin %</t>
        </is>
      </c>
      <c r="B33" s="10">
        <f>IFERROR(B32/B21,"")</f>
        <v>-0.1678</v>
      </c>
      <c r="C33" s="10">
        <f>IFERROR(C32/C21,"")</f>
        <v>-0.3325</v>
      </c>
      <c r="D33" s="10">
        <f>IFERROR(D32/D21,"")</f>
        <v>-0.21749999999999997</v>
      </c>
      <c r="E33" s="10">
        <f>IFERROR(E32/E21,"")</f>
        <v>-0.0441</v>
      </c>
      <c r="F33" s="10">
        <f>IFERROR(F32/F21,"")</f>
        <v>-0.0333</v>
      </c>
    </row>
    <row r="34">
      <c r="A34" t="inlineStr">
        <is>
          <t xml:space="preserve">Income Tax Expense (derived plug)</t>
        </is>
      </c>
      <c r="B34" s="9">
        <f>B32-B35</f>
        <v>141.3632</v>
      </c>
      <c r="C34" s="9">
        <f>C32-C35</f>
        <v>155.7484999999997</v>
      </c>
      <c r="D34" s="9">
        <f>D32-D35</f>
        <v>135.61500000000024</v>
      </c>
      <c r="E34" s="9">
        <f>E32-E35</f>
        <v>340.20813999999996</v>
      </c>
      <c r="F34" s="9">
        <f>F32-F35</f>
        <v>314.69866999999994</v>
      </c>
    </row>
    <row r="35">
      <c r="A35" s="6" t="inlineStr">
        <is>
          <t xml:space="preserve">Net Income</t>
        </is>
      </c>
      <c r="B35" s="7">
        <v>-1124</v>
      </c>
      <c r="C35" s="7">
        <v>-3008</v>
      </c>
      <c r="D35" s="7">
        <v>-2298</v>
      </c>
      <c r="E35" s="7">
        <v>-882.4</v>
      </c>
      <c r="F35" s="7">
        <v>-782.9</v>
      </c>
    </row>
    <row r="36">
      <c r="A36" t="inlineStr">
        <is>
          <t xml:space="preserve">  Net Margin %</t>
        </is>
      </c>
      <c r="B36" s="10">
        <f>IFERROR(B35/B21,"")</f>
        <v>-0.1919398907103825</v>
      </c>
      <c r="C36" s="10">
        <f>IFERROR(C35/C21,"")</f>
        <v>-0.3506563148446061</v>
      </c>
      <c r="D36" s="10">
        <f>IFERROR(D35/D21,"")</f>
        <v>-0.2311406155703078</v>
      </c>
      <c r="E36" s="10">
        <f>IFERROR(E35/E21,"")</f>
        <v>-0.07177134677012671</v>
      </c>
      <c r="F36" s="10">
        <f>IFERROR(F35/F21,"")</f>
        <v>-0.05568239201712648</v>
      </c>
    </row>
    <row r="37">
      <c r="A37" t="inlineStr">
        <is>
          <t xml:space="preserve">  YoY Growth %</t>
        </is>
      </c>
      <c r="B37" s="10"/>
      <c r="C37" s="10">
        <f>IFERROR(C35/B35-1,"")</f>
        <v>1.676156583629893</v>
      </c>
      <c r="D37" s="10">
        <f>IFERROR(D35/C35-1,"")</f>
        <v>-0.23603723404255317</v>
      </c>
      <c r="E37" s="10">
        <f>IFERROR(E35/D35-1,"")</f>
        <v>-0.6160139251523064</v>
      </c>
      <c r="F37" s="10">
        <f>IFERROR(F35/E35-1,"")</f>
        <v>-0.11276065276518588</v>
      </c>
    </row>
    <row r="39">
      <c r="A39" s="3" t="inlineStr">
        <is>
          <t xml:space="preserve">Balance Sheet &amp; Cash Flow Memo</t>
        </is>
      </c>
      <c r="B39" s="4"/>
      <c r="C39" s="4"/>
      <c r="D39" s="4"/>
      <c r="E39" s="4"/>
      <c r="F39" s="4"/>
    </row>
    <row r="40">
      <c r="A40" s="5" t="inlineStr">
        <is>
          <t xml:space="preserve">(€m)</t>
        </is>
      </c>
      <c r="B40" s="5" t="inlineStr">
        <is>
          <t xml:space="preserve">FY2021</t>
        </is>
      </c>
      <c r="C40" s="5" t="inlineStr">
        <is>
          <t xml:space="preserve">FY2022</t>
        </is>
      </c>
      <c r="D40" s="5" t="inlineStr">
        <is>
          <t xml:space="preserve">FY2023</t>
        </is>
      </c>
      <c r="E40" s="5" t="inlineStr">
        <is>
          <t xml:space="preserve">FY2024</t>
        </is>
      </c>
      <c r="F40" s="5" t="inlineStr">
        <is>
          <t xml:space="preserve">FY2025</t>
        </is>
      </c>
    </row>
    <row r="41">
      <c r="A41" t="inlineStr">
        <is>
          <t xml:space="preserve">Cash &amp; Investments</t>
        </is>
      </c>
      <c r="B41" s="9">
        <v>2447</v>
      </c>
      <c r="C41" s="9">
        <v>2418</v>
      </c>
      <c r="D41" s="9">
        <v>1659</v>
      </c>
      <c r="E41" s="9">
        <v>3809</v>
      </c>
      <c r="F41" s="9">
        <v>2113</v>
      </c>
    </row>
    <row r="42">
      <c r="A42" t="inlineStr">
        <is>
          <t xml:space="preserve">Total Debt</t>
        </is>
      </c>
      <c r="B42" s="9">
        <v>4518</v>
      </c>
      <c r="C42" s="9">
        <v>5685</v>
      </c>
      <c r="D42" s="9">
        <v>5643</v>
      </c>
      <c r="E42" s="9">
        <v>5667</v>
      </c>
      <c r="F42" s="9">
        <v>4626</v>
      </c>
    </row>
    <row r="43">
      <c r="A43" t="inlineStr">
        <is>
          <t xml:space="preserve">Net Cash / (Debt)</t>
        </is>
      </c>
      <c r="B43" s="9">
        <f>B41-B42</f>
        <v>-2071</v>
      </c>
      <c r="C43" s="9">
        <f>C41-C42</f>
        <v>-3267</v>
      </c>
      <c r="D43" s="9">
        <f>D41-D42</f>
        <v>-3984</v>
      </c>
      <c r="E43" s="9">
        <f>E41-E42</f>
        <v>-1858</v>
      </c>
      <c r="F43" s="9">
        <f>F41-F42</f>
        <v>-2513</v>
      </c>
    </row>
    <row r="44">
      <c r="A44" t="inlineStr">
        <is>
          <t xml:space="preserve">Operating Cash Flow</t>
        </is>
      </c>
      <c r="B44" s="9">
        <v>-901.4</v>
      </c>
      <c r="C44" s="9">
        <v>-688.8</v>
      </c>
      <c r="D44" s="9">
        <v>-19.5</v>
      </c>
      <c r="E44" s="9">
        <v>638.3</v>
      </c>
      <c r="F44" s="9">
        <v>79.5</v>
      </c>
    </row>
    <row r="45">
      <c r="A45" t="inlineStr">
        <is>
          <t xml:space="preserve">CapEx</t>
        </is>
      </c>
      <c r="B45" s="9">
        <v>-267.1</v>
      </c>
      <c r="C45" s="9">
        <v>-180.1</v>
      </c>
      <c r="D45" s="9">
        <v>-147.7</v>
      </c>
      <c r="E45" s="9">
        <v>-139.1</v>
      </c>
      <c r="F45" s="9">
        <v>-171</v>
      </c>
    </row>
    <row r="46">
      <c r="A46" t="inlineStr">
        <is>
          <t xml:space="preserve">Free Cash Flow</t>
        </is>
      </c>
      <c r="B46" s="9">
        <f>B44+B45</f>
        <v>-1168.5</v>
      </c>
      <c r="C46" s="9">
        <f>C44+C45</f>
        <v>-868.9</v>
      </c>
      <c r="D46" s="9">
        <f>D44+D45</f>
        <v>-167.2</v>
      </c>
      <c r="E46" s="9">
        <f>E44+E45</f>
        <v>499.19999999999993</v>
      </c>
      <c r="F46" s="9">
        <f>F44+F45</f>
        <v>-91.5</v>
      </c>
    </row>
    <row r="48">
      <c r="A48" s="11" t="inlineStr">
        <is>
          <t xml:space="preserve">Notes: Cost of Revenue, Operating Expenses, Other Non-Operating Items and Income Tax Expense are back-solved from reported gross/operating/pretax/net margins (S&amp;P Global aggregated data) since a full expense-line breakdown was not sourced. Reported anchor lines — Total Revenue, Gross Profit, EBIT, Net Income — are hardcoded to reported figures.</t>
        </is>
      </c>
    </row>
  </sheetData>
  <mergeCells count="1">
    <mergeCell ref="A48:F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2026-08-17T15:18:51Z</dcterms:created>
  <dcterms:modified xsi:type="dcterms:W3CDTF">2026-08-17T15:18:51Z</dcterms:modified>
</cp:coreProperties>
</file>