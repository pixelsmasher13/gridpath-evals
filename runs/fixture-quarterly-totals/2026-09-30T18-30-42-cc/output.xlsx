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  <c r="D1" t="inlineStr">
        <is>
          <t>Gross margin</t>
        </is>
      </c>
    </row>
    <row r="2">
      <c r="A2" t="inlineStr">
        <is>
          <t>Q1-24</t>
        </is>
      </c>
      <c r="B2" s="1" t="n">
        <v>1180</v>
      </c>
      <c r="C2" s="1" t="n">
        <v>732</v>
      </c>
      <c r="D2" s="3">
        <f>1-C2/B2</f>
        <v>0.37966101694915255</v>
      </c>
    </row>
    <row r="3">
      <c r="A3" t="inlineStr">
        <is>
          <t>Q2-24</t>
        </is>
      </c>
      <c r="B3" s="1" t="n">
        <v>1245</v>
      </c>
      <c r="C3" s="1" t="n">
        <v>772</v>
      </c>
      <c r="D3" s="3">
        <f>1-C3/B3</f>
        <v>0.37991967871485943</v>
      </c>
    </row>
    <row r="4">
      <c r="A4" t="inlineStr">
        <is>
          <t>Q3-24</t>
        </is>
      </c>
      <c r="B4" s="1" t="n">
        <v>1310</v>
      </c>
      <c r="C4" s="1" t="n">
        <v>812</v>
      </c>
      <c r="D4" s="3">
        <f>1-C4/B4</f>
        <v>0.3801526717557252</v>
      </c>
    </row>
    <row r="5">
      <c r="A5" t="inlineStr">
        <is>
          <t>Q4-24</t>
        </is>
      </c>
      <c r="B5" s="1" t="n">
        <v>1420</v>
      </c>
      <c r="C5" s="1" t="n">
        <v>880</v>
      </c>
      <c r="D5" s="3">
        <f>1-C5/B5</f>
        <v>0.3802816901408451</v>
      </c>
    </row>
    <row r="6">
      <c r="A6" t="inlineStr">
        <is>
          <t>Q1-25</t>
        </is>
      </c>
      <c r="B6" s="1" t="n">
        <v>1385</v>
      </c>
      <c r="C6" s="1" t="n">
        <v>859</v>
      </c>
      <c r="D6" s="3">
        <f>1-C6/B6</f>
        <v>0.379783393501805</v>
      </c>
    </row>
    <row r="7">
      <c r="A7" t="inlineStr">
        <is>
          <t>Q2-25</t>
        </is>
      </c>
      <c r="B7" s="1" t="n">
        <v>1462</v>
      </c>
      <c r="C7" s="1" t="n">
        <v>906</v>
      </c>
      <c r="D7" s="3">
        <f>1-C7/B7</f>
        <v>0.3803009575923393</v>
      </c>
    </row>
    <row r="8">
      <c r="A8" t="inlineStr">
        <is>
          <t>Q3-25</t>
        </is>
      </c>
      <c r="B8" s="1" t="n">
        <v>1548</v>
      </c>
      <c r="C8" s="1" t="n">
        <v>960</v>
      </c>
      <c r="D8" s="3">
        <f>1-C8/B8</f>
        <v>0.3798449612403101</v>
      </c>
    </row>
    <row r="9">
      <c r="A9" t="inlineStr">
        <is>
          <t>Q4-25</t>
        </is>
      </c>
      <c r="B9" s="1" t="n">
        <v>1660</v>
      </c>
      <c r="C9" s="1" t="n">
        <v>1029</v>
      </c>
      <c r="D9" s="3">
        <f>1-C9/B9</f>
        <v>0.38012048192771086</v>
      </c>
    </row>
    <row r="10">
      <c r="A10" t="inlineStr">
        <is>
          <t>FY2025 total</t>
        </is>
      </c>
      <c r="B10" s="1">
        <f>SUM(B6:B9)</f>
        <v>6055</v>
      </c>
      <c r="C10" s="1">
        <f>SUM(C6:C9)</f>
        <v>3754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/>
      </c>
      <c r="E7" s="1">
        <f>D7*(1+GrowthRate*4)</f>
        <v/>
      </c>
      <c r="F7" s="1">
        <f>E7*(1+GrowthRate*4)</f>
        <v/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/>
      </c>
      <c r="E8" s="1">
        <f>E7*0.62</f>
        <v/>
      </c>
      <c r="F8" s="1">
        <f>F7*0.62</f>
        <v/>
      </c>
    </row>
    <row r="9">
      <c r="A9" t="inlineStr">
        <is>
          <t>Gross profit</t>
        </is>
      </c>
      <c r="B9" s="1">
        <f>B7-B8</f>
        <v/>
      </c>
      <c r="C9" s="1">
        <f>C7-C8</f>
        <v/>
      </c>
      <c r="D9" s="1">
        <f>D7-D8</f>
        <v/>
      </c>
      <c r="E9" s="1">
        <f>E7-E8</f>
        <v/>
      </c>
      <c r="F9" s="1">
        <f>F7-F8</f>
        <v/>
      </c>
    </row>
    <row r="10">
      <c r="A10" t="inlineStr">
        <is>
          <t>Gross margin</t>
        </is>
      </c>
      <c r="B10" s="3">
        <f>B9/B7</f>
        <v/>
      </c>
      <c r="C10" s="3">
        <f>C9/C7</f>
        <v/>
      </c>
      <c r="D10" s="3">
        <f>D9/D7</f>
        <v/>
      </c>
      <c r="E10" s="3">
        <f>E9/E7</f>
        <v/>
      </c>
      <c r="F10" s="3">
        <f>F9/F7</f>
        <v/>
      </c>
    </row>
  </sheetData>
  <mergeCells count="1">
    <mergeCell ref="A1:F1"/>
  </mergeCells>
  <conditionalFormatting sqref="B10:F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