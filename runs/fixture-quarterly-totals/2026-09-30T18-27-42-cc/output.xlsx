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  <Default Extension="bin" ContentType="application/vnd.openxmlformats-officedocument.spreadsheetml.printerSettings"/>
  <Override PartName="/customXml/item1.xml" ContentType="application/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odel" sheetId="2" state="visible" r:id="rId2"/>
  </sheets>
  <definedNames>
    <definedName name="GrowthRate">Model!$B$4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3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'Data'!$A$2:$A$9</f>
            </numRef>
          </cat>
          <val>
            <numRef>
              <f>'Data'!$B$2:$B$9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Revenue</t>
        </is>
      </c>
      <c r="C1" t="inlineStr">
        <is>
          <t>COGS</t>
        </is>
      </c>
      <c r="D1" t="inlineStr">
        <is>
          <t>Gross margin</t>
        </is>
      </c>
    </row>
    <row r="2">
      <c r="A2" t="inlineStr">
        <is>
          <t>Q1-24</t>
        </is>
      </c>
      <c r="B2" s="1" t="n">
        <v>1180</v>
      </c>
      <c r="C2" s="1" t="n">
        <v>732</v>
      </c>
      <c r="D2" s="3">
        <f>1-C2/B2</f>
        <v>0.37966101694915255</v>
      </c>
    </row>
    <row r="3">
      <c r="A3" t="inlineStr">
        <is>
          <t>Q2-24</t>
        </is>
      </c>
      <c r="B3" s="1" t="n">
        <v>1245</v>
      </c>
      <c r="C3" s="1" t="n">
        <v>772</v>
      </c>
      <c r="D3" s="3">
        <f>1-C3/B3</f>
        <v>0.37991967871485943</v>
      </c>
    </row>
    <row r="4">
      <c r="A4" t="inlineStr">
        <is>
          <t>Q3-24</t>
        </is>
      </c>
      <c r="B4" s="1" t="n">
        <v>1310</v>
      </c>
      <c r="C4" s="1" t="n">
        <v>812</v>
      </c>
      <c r="D4" s="3">
        <f>1-C4/B4</f>
        <v>0.3801526717557252</v>
      </c>
    </row>
    <row r="5">
      <c r="A5" t="inlineStr">
        <is>
          <t>Q4-24</t>
        </is>
      </c>
      <c r="B5" s="1" t="n">
        <v>1420</v>
      </c>
      <c r="C5" s="1" t="n">
        <v>880</v>
      </c>
      <c r="D5" s="3">
        <f>1-C5/B5</f>
        <v>0.3802816901408451</v>
      </c>
    </row>
    <row r="6">
      <c r="A6" t="inlineStr">
        <is>
          <t>Q1-25</t>
        </is>
      </c>
      <c r="B6" s="1" t="n">
        <v>1385</v>
      </c>
      <c r="C6" s="1" t="n">
        <v>859</v>
      </c>
      <c r="D6" s="3">
        <f>1-C6/B6</f>
        <v>0.379783393501805</v>
      </c>
    </row>
    <row r="7">
      <c r="A7" t="inlineStr">
        <is>
          <t>Q2-25</t>
        </is>
      </c>
      <c r="B7" s="1" t="n">
        <v>1462</v>
      </c>
      <c r="C7" s="1" t="n">
        <v>906</v>
      </c>
      <c r="D7" s="3">
        <f>1-C7/B7</f>
        <v>0.3803009575923393</v>
      </c>
    </row>
    <row r="8">
      <c r="A8" t="inlineStr">
        <is>
          <t>Q3-25</t>
        </is>
      </c>
      <c r="B8" s="1" t="n">
        <v>1548</v>
      </c>
      <c r="C8" s="1" t="n">
        <v>960</v>
      </c>
      <c r="D8" s="3">
        <f>1-C8/B8</f>
        <v>0.3798449612403101</v>
      </c>
    </row>
    <row r="9">
      <c r="A9" t="inlineStr">
        <is>
          <t>Q4-25</t>
        </is>
      </c>
      <c r="B9" s="1" t="n">
        <v>1660</v>
      </c>
      <c r="C9" s="1" t="n">
        <v>1029</v>
      </c>
      <c r="D9" s="3">
        <f>1-C9/B9</f>
        <v>0.38012048192771086</v>
      </c>
    </row>
    <row r="10">
      <c r="A10" s="4" t="inlineStr">
        <is>
          <t>FY2025 total</t>
        </is>
      </c>
      <c r="B10" s="1">
        <f>SUM(B6:B9)</f>
        <v>6055</v>
      </c>
      <c r="C10" s="1">
        <f>SUM(C6:C9)</f>
        <v>3754</v>
      </c>
      <c r="D10" s="3">
        <f>1-C10/B10</f>
        <v>0.38001651527663083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s="2" t="inlineStr">
        <is>
          <t>Acme Co — Operating Model (fixture)</t>
        </is>
      </c>
    </row>
    <row r="3">
      <c r="A3" t="inlineStr">
        <is>
          <t>Scenario</t>
        </is>
      </c>
      <c r="B3" t="inlineStr">
        <is>
          <t>Base</t>
        </is>
      </c>
    </row>
    <row r="4">
      <c r="A4" t="inlineStr">
        <is>
          <t>Growth rate</t>
        </is>
      </c>
      <c r="B4" s="3" t="n">
        <v>0.06</v>
      </c>
    </row>
    <row r="6">
      <c r="A6" s="4" t="inlineStr">
        <is>
          <t>Line item</t>
        </is>
      </c>
      <c r="B6" s="4" t="inlineStr">
        <is>
          <t>FY2024A</t>
        </is>
      </c>
      <c r="C6" s="4" t="inlineStr">
        <is>
          <t>FY2025A</t>
        </is>
      </c>
      <c r="D6" s="4" t="inlineStr">
        <is>
          <t>FY2026E</t>
        </is>
      </c>
      <c r="E6" s="4" t="inlineStr">
        <is>
          <t>FY2027E</t>
        </is>
      </c>
      <c r="F6" s="4" t="inlineStr">
        <is>
          <t>FY2028E</t>
        </is>
      </c>
    </row>
    <row r="7">
      <c r="A7" t="inlineStr">
        <is>
          <t>Revenue</t>
        </is>
      </c>
      <c r="B7" s="1" t="n">
        <v>5155</v>
      </c>
      <c r="C7" s="1" t="n">
        <v>6055</v>
      </c>
      <c r="D7" s="1">
        <f>C7*(1+GrowthRate*4)</f>
        <v/>
      </c>
      <c r="E7" s="1">
        <f>D7*(1+GrowthRate*4)</f>
        <v/>
      </c>
      <c r="F7" s="1">
        <f>E7*(1+GrowthRate*4)</f>
        <v/>
      </c>
    </row>
    <row r="8">
      <c r="A8" t="inlineStr">
        <is>
          <t>COGS</t>
        </is>
      </c>
      <c r="B8" s="1" t="n">
        <v>3196</v>
      </c>
      <c r="C8" s="1" t="n">
        <v>3754</v>
      </c>
      <c r="D8" s="1">
        <f>D7*0.62</f>
        <v/>
      </c>
      <c r="E8" s="1">
        <f>E7*0.62</f>
        <v/>
      </c>
      <c r="F8" s="1">
        <f>F7*0.62</f>
        <v/>
      </c>
    </row>
    <row r="9">
      <c r="A9" t="inlineStr">
        <is>
          <t>Gross profit</t>
        </is>
      </c>
      <c r="B9" s="1">
        <f>B7-B8</f>
        <v/>
      </c>
      <c r="C9" s="1">
        <f>C7-C8</f>
        <v/>
      </c>
      <c r="D9" s="1">
        <f>D7-D8</f>
        <v/>
      </c>
      <c r="E9" s="1">
        <f>E7-E8</f>
        <v/>
      </c>
      <c r="F9" s="1">
        <f>F7-F8</f>
        <v/>
      </c>
    </row>
    <row r="10">
      <c r="A10" t="inlineStr">
        <is>
          <t>Gross margin</t>
        </is>
      </c>
      <c r="B10" s="3">
        <f>B9/B7</f>
        <v/>
      </c>
      <c r="C10" s="3">
        <f>C9/C7</f>
        <v/>
      </c>
      <c r="D10" s="3">
        <f>D9/D7</f>
        <v/>
      </c>
      <c r="E10" s="3">
        <f>E9/E7</f>
        <v/>
      </c>
      <c r="F10" s="3">
        <f>F9/F7</f>
        <v/>
      </c>
    </row>
  </sheetData>
  <mergeCells count="1">
    <mergeCell ref="A1:F1"/>
  </mergeCells>
  <conditionalFormatting sqref="B10:F10">
    <cfRule type="colorScale" priority="1">
      <colorScale>
        <cfvo type="num" val="0.3"/>
        <cfvo type="num" val="0.45"/>
        <color rgb="00F8696B"/>
        <color rgb="0063BE7B"/>
      </colorScale>
    </cfRule>
  </conditionalFormatting>
  <dataValidations count="1">
    <dataValidation sqref="B3" showDropDown="0" showInputMessage="0" showErrorMessage="0" allowBlank="0" type="list">
      <formula1>"Base,Bull,Bear"</formula1>
    </dataValidation>
  </dataValidations>
  <pageMargins left="0.75" right="0.75" top="1" bottom="1" header="0.5" footer="0.5"/>
  <drawing xmlns:r="http://schemas.openxmlformats.org/officeDocument/2006/relationships" r:id="rId1"/>
</worksheet>
</file>

<file path=customXml/item1.xml><?xml version="1.0" encoding="utf-8"?>
<gridpathEval xmlns="urn:gridpath:eval">
  <provenance>fixture v2</provenance>
</gridpathEval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2026-07-19T20:16:51Z</dcterms:created>
  <dcterms:modified xmlns:dcterms="http://purl.org/dc/terms/" xmlns:xsi="http://www.w3.org/2001/XMLSchema-instance" xsi:type="dcterms:W3CDTF">2026-07-19T20:16:51Z</dcterms:modified>
</cp:coreProperties>
</file>