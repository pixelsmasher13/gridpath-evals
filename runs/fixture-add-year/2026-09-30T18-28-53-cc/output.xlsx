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  <c r="G6" s="4" t="inlineStr">
        <is>
          <t>FY2029E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  <c r="G7" s="1">
        <f>F7*(1+GrowthRate*4)</f>
        <v>14315.3143168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7157.6571584</v>
      </c>
      <c r="G8" s="1">
        <f>G7*0.62</f>
        <v>8875.494876416</v>
      </c>
    </row>
    <row r="9">
      <c r="A9" t="inlineStr">
        <is>
          <t>Gross profit</t>
        </is>
      </c>
      <c r="B9" s="1">
        <f>B7-B8</f>
        <v>1959</v>
      </c>
      <c r="C9" s="1">
        <f>C7-C8</f>
        <v>2301</v>
      </c>
      <c r="D9" s="1">
        <f>D7-D8</f>
        <v>2853.116</v>
      </c>
      <c r="E9" s="1">
        <f>E7-E8</f>
        <v>3537.86384</v>
      </c>
      <c r="F9" s="1">
        <f>F7-F8</f>
        <v>4386.9511616</v>
      </c>
      <c r="G9" s="1">
        <f>G7-G8</f>
        <v>5439.819440384</v>
      </c>
    </row>
    <row r="10">
      <c r="A10" t="inlineStr">
        <is>
          <t>Gross margin</t>
        </is>
      </c>
      <c r="B10" s="3">
        <f>B9/B7</f>
        <v>0.380019398642095</v>
      </c>
      <c r="C10" s="3">
        <f>C9/C7</f>
        <v>0.380016515276631</v>
      </c>
      <c r="D10" s="3">
        <f>D9/D7</f>
        <v>0.38</v>
      </c>
      <c r="E10" s="3">
        <f>E9/E7</f>
        <v>0.38</v>
      </c>
      <c r="F10" s="3">
        <f>F9/F7</f>
        <v>0.38</v>
      </c>
      <c r="G10" s="3">
        <f>G9/G7</f>
        <v>0.38</v>
      </c>
    </row>
  </sheetData>
  <mergeCells count="1">
    <mergeCell ref="A1:F1"/>
  </mergeCells>
  <conditionalFormatting sqref="B10:G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