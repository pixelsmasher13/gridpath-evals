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/>
      <family val="2"/>
      <color theme="1"/>
      <sz val="11"/>
      <name val="Inter"/>
    </font>
    <font>
      <family val="2"/>
      <color theme="1"/>
      <sz val="11"/>
      <name val="Calibri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 applyFont="1" applyFill="1"/>
    <xf numFmtId="3" fontId="4" fillId="0" borderId="0" pivotButton="0" quotePrefix="0" xfId="0" applyFont="1" applyFill="1" applyNumberFormat="1"/>
    <xf numFmtId="164" fontId="4" fillId="0" borderId="0" pivotButton="0" quotePrefix="0" xfId="0" applyFont="1" applyFill="1" applyNumberForma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  <c r="G6" s="5" t="inlineStr">
        <is>
          <t xml:space="preserve">FY2029E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  <c r="G7" s="6">
        <f>F7*(1+GrowthRate*4)</f>
        <v>14315.3143168</v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  <c r="G8" s="6">
        <f>G7*0.62</f>
        <v>8875.494876416</v>
      </c>
    </row>
    <row r="9">
      <c r="A9" t="inlineStr">
        <is>
          <t>Gross profit</t>
        </is>
      </c>
      <c r="B9" s="1">
        <f>B7-B8</f>
        <v/>
      </c>
      <c r="C9" s="1">
        <f>C7-C8</f>
        <v/>
      </c>
      <c r="D9" s="1">
        <f>D7-D8</f>
        <v/>
      </c>
      <c r="E9" s="1">
        <f>E7-E8</f>
        <v/>
      </c>
      <c r="F9" s="1">
        <f>F7-F8</f>
        <v/>
      </c>
      <c r="G9" s="6">
        <f>G7-G8</f>
        <v>5439.819440383999</v>
      </c>
    </row>
    <row r="10">
      <c r="A10" t="inlineStr">
        <is>
          <t>Gross margin</t>
        </is>
      </c>
      <c r="B10" s="3">
        <f>B9/B7</f>
        <v/>
      </c>
      <c r="C10" s="3">
        <f>C9/C7</f>
        <v/>
      </c>
      <c r="D10" s="3">
        <f>D9/D7</f>
        <v/>
      </c>
      <c r="E10" s="3">
        <f>E9/E7</f>
        <v/>
      </c>
      <c r="F10" s="3">
        <f>F9/F7</f>
        <v/>
      </c>
      <c r="G10" s="7">
        <f>G9/G7</f>
        <v>0.3799999999999999</v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