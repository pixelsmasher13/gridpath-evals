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</row>
    <row r="9">
      <c r="A9" t="inlineStr">
        <is>
          <t>Opex</t>
        </is>
      </c>
      <c r="B9" s="1" t="n">
        <v>1030</v>
      </c>
      <c r="C9" s="1" t="n">
        <v>1210</v>
      </c>
      <c r="D9" s="1">
        <f>D7*0.2</f>
        <v>1501.64</v>
      </c>
      <c r="E9" s="1">
        <f>E7*0.2</f>
        <v>1862.0336</v>
      </c>
      <c r="F9" s="1">
        <f>F7*0.2</f>
        <v>2308.921664</v>
      </c>
    </row>
    <row r="10">
      <c r="A10" t="inlineStr">
        <is>
          <t>Gross profit</t>
        </is>
      </c>
      <c r="B10" s="1">
        <f>B7-B8-B9</f>
        <v>929</v>
      </c>
      <c r="C10" s="1">
        <f>C7-C8-C9</f>
        <v>1091</v>
      </c>
      <c r="D10" s="1">
        <f>D7-D8-D9</f>
        <v>1351.4759999999999</v>
      </c>
      <c r="E10" s="1">
        <f>E7-E8-E9</f>
        <v>1675.83024</v>
      </c>
      <c r="F10" s="1">
        <f>F7-F8-F9</f>
        <v>2078.0294976</v>
      </c>
    </row>
    <row r="11">
      <c r="A11" t="inlineStr">
        <is>
          <t>Gross margin</t>
        </is>
      </c>
      <c r="B11" s="3">
        <f>B10/B7</f>
        <v>0.1802133850630456</v>
      </c>
      <c r="C11" s="3">
        <f>C10/C7</f>
        <v>0.18018166804293972</v>
      </c>
      <c r="D11" s="3">
        <f>D10/D7</f>
        <v>0.18</v>
      </c>
      <c r="E11" s="3">
        <f>E10/E7</f>
        <v>0.18</v>
      </c>
      <c r="F11" s="3">
        <f>F10/F7</f>
        <v>0.18000000000000002</v>
      </c>
    </row>
  </sheetData>
  <mergeCells count="1">
    <mergeCell ref="A1:F1"/>
  </mergeCells>
  <conditionalFormatting sqref="B11:F11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