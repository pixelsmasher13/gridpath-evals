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family val="2"/>
      <color theme="1"/>
      <sz val="11"/>
      <name val="Calibri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0" fillId="0" borderId="0" pivotButton="0" quotePrefix="0" xfId="0" applyFill="1"/>
    <xf numFmtId="3" fontId="3" fillId="0" borderId="0" pivotButton="0" quotePrefix="0" xfId="0" applyFont="1" applyFill="1" applyNumberForma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</row>
    <row r="2">
      <c r="A2" t="inlineStr">
        <is>
          <t>Q1-24</t>
        </is>
      </c>
      <c r="B2" s="1" t="n">
        <v>1180</v>
      </c>
      <c r="C2" s="1" t="n">
        <v>732</v>
      </c>
    </row>
    <row r="3">
      <c r="A3" t="inlineStr">
        <is>
          <t>Q2-24</t>
        </is>
      </c>
      <c r="B3" s="1" t="n">
        <v>1245</v>
      </c>
      <c r="C3" s="1" t="n">
        <v>772</v>
      </c>
    </row>
    <row r="4">
      <c r="A4" t="inlineStr">
        <is>
          <t>Q3-24</t>
        </is>
      </c>
      <c r="B4" s="1" t="n">
        <v>1310</v>
      </c>
      <c r="C4" s="1" t="n">
        <v>812</v>
      </c>
    </row>
    <row r="5">
      <c r="A5" t="inlineStr">
        <is>
          <t>Q4-24</t>
        </is>
      </c>
      <c r="B5" s="1" t="n">
        <v>1420</v>
      </c>
      <c r="C5" s="1" t="n">
        <v>880</v>
      </c>
    </row>
    <row r="6">
      <c r="A6" t="inlineStr">
        <is>
          <t>Q1-25</t>
        </is>
      </c>
      <c r="B6" s="1" t="n">
        <v>1385</v>
      </c>
      <c r="C6" s="1" t="n">
        <v>859</v>
      </c>
    </row>
    <row r="7">
      <c r="A7" t="inlineStr">
        <is>
          <t>Q2-25</t>
        </is>
      </c>
      <c r="B7" s="1" t="n">
        <v>1462</v>
      </c>
      <c r="C7" s="1" t="n">
        <v>906</v>
      </c>
    </row>
    <row r="8">
      <c r="A8" t="inlineStr">
        <is>
          <t>Q3-25</t>
        </is>
      </c>
      <c r="B8" s="1" t="n">
        <v>1548</v>
      </c>
      <c r="C8" s="1" t="n">
        <v>960</v>
      </c>
    </row>
    <row r="9">
      <c r="A9" t="inlineStr">
        <is>
          <t>Q4-25</t>
        </is>
      </c>
      <c r="B9" s="1" t="n">
        <v>1660</v>
      </c>
      <c r="C9" s="1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/>
      </c>
      <c r="E7" s="1">
        <f>D7*(1+GrowthRate*4)</f>
        <v/>
      </c>
      <c r="F7" s="1">
        <f>E7*(1+GrowthRate*4)</f>
        <v/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/>
      </c>
      <c r="E8" s="1">
        <f>E7*0.62</f>
        <v/>
      </c>
      <c r="F8" s="1">
        <f>F7*0.62</f>
        <v/>
      </c>
    </row>
    <row r="9">
      <c r="A9" s="5" t="inlineStr">
        <is>
          <t xml:space="preserve">Opex</t>
        </is>
      </c>
      <c r="B9" s="6">
        <v>1030</v>
      </c>
      <c r="C9" s="6">
        <v>1210</v>
      </c>
      <c r="D9" s="6">
        <f>D7*0.2</f>
        <v>1501.64</v>
      </c>
      <c r="E9" s="6">
        <f>E7*0.2</f>
        <v>1862.0336</v>
      </c>
      <c r="F9" s="6">
        <f>F7*0.2</f>
        <v>2308.921664</v>
      </c>
    </row>
    <row r="10">
      <c r="A10" t="inlineStr">
        <is>
          <t>Gross profit</t>
        </is>
      </c>
      <c r="B10" s="1">
        <f>B7-B8-B9</f>
        <v>929</v>
      </c>
      <c r="C10" s="1">
        <f>C7-C8-C9</f>
        <v>1091</v>
      </c>
      <c r="D10" s="1">
        <f>D7-D8-D9</f>
        <v>1351.476</v>
      </c>
      <c r="E10" s="1">
        <f>E7-E8-E9</f>
        <v>1675.83024</v>
      </c>
      <c r="F10" s="1">
        <f>F7-F8-F9</f>
        <v>2078.0294976</v>
      </c>
    </row>
    <row r="11">
      <c r="A11" t="inlineStr">
        <is>
          <t>Gross margin</t>
        </is>
      </c>
      <c r="B11" s="3">
        <f>B10/B7</f>
        <v>0.1802133850630456</v>
      </c>
      <c r="C11" s="3">
        <f>C10/C7</f>
        <v>0.18018166804293972</v>
      </c>
      <c r="D11" s="3">
        <f>D10/D7</f>
        <v>0.18</v>
      </c>
      <c r="E11" s="3">
        <f>E10/E7</f>
        <v>0.18</v>
      </c>
      <c r="F11" s="3">
        <f>F10/F7</f>
        <v>0.18000000000000002</v>
      </c>
    </row>
  </sheetData>
  <mergeCells count="1">
    <mergeCell ref="A1:F1"/>
  </mergeCells>
  <conditionalFormatting sqref="B11:F11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