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0.0%;(0.0%);-"/>
    <numFmt numFmtId="166" formatCode="$#,##0.00;($#,##0.00)"/>
  </numFmts>
  <fonts x14ac:knownFonts="1" count="11">
    <font>
      <color theme="1"/>
      <family val="2"/>
      <scheme val="minor"/>
      <sz val="11"/>
      <name val="Calibri"/>
    </font>
    <font>
      <b/>
      <family val="2"/>
      <scheme val="minor"/>
      <name val="Calibri"/>
      <color rgb="FF1F4E79"/>
      <sz val="14"/>
    </font>
    <font>
      <i/>
      <family val="2"/>
      <scheme val="minor"/>
      <name val="Calibri"/>
      <color rgb="FF666666"/>
      <sz val="9"/>
    </font>
    <font>
      <b/>
      <family val="2"/>
      <scheme val="minor"/>
      <sz val="11"/>
      <name val="Calibri"/>
      <color rgb="FF1F4E79"/>
    </font>
    <font>
      <b/>
      <family val="2"/>
      <scheme val="minor"/>
      <sz val="11"/>
      <name val="Calibri"/>
      <color rgb="FFFFFFFF"/>
    </font>
    <font>
      <i/>
      <color theme="1"/>
      <family val="2"/>
      <scheme val="minor"/>
      <name val="Calibri"/>
      <sz val="9"/>
    </font>
    <font>
      <b/>
      <color theme="1"/>
      <family val="2"/>
      <scheme val="minor"/>
      <name val="Calibri"/>
      <sz val="10"/>
    </font>
    <font>
      <b/>
      <color theme="1"/>
      <family val="2"/>
      <scheme val="minor"/>
      <sz val="11"/>
      <name val="Calibri"/>
    </font>
    <font>
      <i/>
      <family val="2"/>
      <scheme val="minor"/>
      <name val="Calibri"/>
      <color rgb="FF595959"/>
      <sz val="9"/>
    </font>
    <font>
      <family val="2"/>
      <scheme val="minor"/>
      <sz val="11"/>
      <name val="Calibri"/>
      <color rgb="FF0000FF"/>
    </font>
    <font>
      <i/>
      <family val="2"/>
      <scheme val="minor"/>
      <sz val="11"/>
      <name val="Calibri"/>
      <color rgb="FF595959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7472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4CCC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7" fontId="5" fillId="4" borderId="0" xfId="0" applyFont="1" applyFill="1" applyNumberFormat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/>
    <xf numFmtId="0" fontId="7" fillId="0" borderId="0" xfId="0" applyFont="1" applyFill="1"/>
    <xf numFmtId="0" fontId="8" fillId="0" borderId="0" xfId="0" applyFont="1" applyFill="1" applyAlignment="1">
      <alignment vertical="top" wrapText="1"/>
    </xf>
    <xf numFmtId="164" fontId="9" fillId="0" borderId="0" xfId="0" applyFont="1" applyFill="1" applyNumberFormat="1"/>
    <xf numFmtId="164" fontId="0" fillId="7" borderId="0" xfId="0" applyFill="1" applyNumberFormat="1"/>
    <xf numFmtId="164" fontId="0" fillId="0" borderId="0" xfId="0" applyFill="1" applyNumberFormat="1"/>
    <xf numFmtId="164" fontId="7" fillId="0" borderId="0" xfId="0" applyFont="1" applyFill="1" applyNumberFormat="1"/>
    <xf numFmtId="164" fontId="7" fillId="7" borderId="0" xfId="0" applyFont="1" applyFill="1" applyNumberFormat="1"/>
    <xf numFmtId="165" fontId="10" fillId="0" borderId="0" xfId="0" applyFont="1" applyFill="1" applyNumberFormat="1"/>
    <xf numFmtId="166" fontId="7" fillId="0" borderId="0" xfId="0" applyFont="1" applyFill="1" applyNumberFormat="1"/>
    <xf numFmtId="166" fontId="7" fillId="7" borderId="0" xfId="0" applyFont="1" applyFill="1" applyNumberFormat="1"/>
    <xf numFmtId="3" fontId="9" fillId="0" borderId="0" xfId="0" applyFont="1" applyFill="1" applyNumberFormat="1"/>
    <xf numFmtId="3" fontId="0" fillId="7" borderId="0" xfId="0" applyFill="1" applyNumberFormat="1"/>
    <xf numFmtId="165" fontId="0" fillId="0" borderId="0" xfId="0" applyFill="1" applyNumberFormat="1"/>
    <xf numFmtId="165" fontId="9" fillId="0" borderId="0" xfId="0" applyFont="1" applyFill="1" applyNumberFormat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5" topLeftCell="B6" activePane="bottomRight" state="frozen"/>
    </sheetView>
  </sheetViews>
  <sheetFormatPr defaultRowHeight="15" outlineLevelRow="0" outlineLevelCol="0" x14ac:dyDescent="55"/>
  <cols>
    <col min="1" max="1" width="42.14" customWidth="1"/>
    <col min="2" max="2" width="12.14" customWidth="1"/>
    <col min="3" max="3" width="12.14" customWidth="1"/>
    <col min="4" max="4" width="12.14" customWidth="1"/>
    <col min="5" max="5" width="12.14" customWidth="1"/>
    <col min="6" max="6" width="12.14" customWidth="1"/>
    <col min="7" max="7" width="12.14" customWidth="1"/>
    <col min="8" max="8" width="12.14" customWidth="1"/>
    <col min="9" max="9" width="12.14" customWidth="1"/>
    <col min="10" max="10" width="12.14" customWidth="1"/>
    <col min="11" max="11" width="12.14" customWidth="1"/>
    <col min="12" max="12" width="12.14" customWidth="1"/>
    <col min="13" max="13" width="12.14" customWidth="1"/>
    <col min="14" max="14" width="12.14" customWidth="1"/>
    <col min="15" max="15" width="12.14" customWidth="1"/>
    <col min="16" max="16" width="12.14" customWidth="1"/>
    <col min="17" max="17" width="12.14" customWidth="1"/>
    <col min="18" max="18" width="12.14" customWidth="1"/>
    <col min="19" max="19" width="12.14" customWidth="1"/>
    <col min="20" max="20" width="12.14" customWidth="1"/>
    <col min="21" max="21" width="12.14" customWidth="1"/>
  </cols>
  <sheetData>
    <row r="1" ht="19.5" customHeight="1">
      <c r="A1" s="1" t="inlineStr">
        <is>
          <t xml:space="preserve">Apple Inc. (AAPL) — Income Statement Forecast, FY2026E–FY2028E (Quarterly &amp; Annual)</t>
        </is>
      </c>
    </row>
    <row r="2" ht="12" customHeight="1">
      <c r="A2" s="2" t="inlineStr">
        <is>
          <t xml:space="preserve">$ in millions, except per-share amounts  |  Fiscal year ends last Saturday of September  |  A = Actual (reported), E = Estimate (modeled)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2.51" customHeight="1">
      <c r="A4" s="3" t="inlineStr">
        <is>
          <t xml:space="preserve">Fiscal Period →</t>
        </is>
      </c>
      <c r="B4" s="4" t="inlineStr">
        <is>
          <t xml:space="preserve">Q1 FY25 (A)</t>
        </is>
      </c>
      <c r="C4" s="4" t="inlineStr">
        <is>
          <t xml:space="preserve">Q2 FY25 (A)</t>
        </is>
      </c>
      <c r="D4" s="4" t="inlineStr">
        <is>
          <t xml:space="preserve">Q3 FY25 (A)</t>
        </is>
      </c>
      <c r="E4" s="4" t="inlineStr">
        <is>
          <t xml:space="preserve">Q4 FY25 (A)</t>
        </is>
      </c>
      <c r="F4" s="4" t="inlineStr">
        <is>
          <t xml:space="preserve">FY2025 (A)</t>
        </is>
      </c>
      <c r="G4" s="4" t="inlineStr">
        <is>
          <t xml:space="preserve">Q1 FY26 (A)</t>
        </is>
      </c>
      <c r="H4" s="4" t="inlineStr">
        <is>
          <t xml:space="preserve">Q2 FY26 (A)</t>
        </is>
      </c>
      <c r="I4" s="4" t="inlineStr">
        <is>
          <t xml:space="preserve">Q3 FY26 (A)</t>
        </is>
      </c>
      <c r="J4" s="5" t="inlineStr">
        <is>
          <t xml:space="preserve">Q4 FY26 (E)</t>
        </is>
      </c>
      <c r="K4" s="5" t="inlineStr">
        <is>
          <t xml:space="preserve">FY2026 (E)</t>
        </is>
      </c>
      <c r="L4" s="5" t="inlineStr">
        <is>
          <t xml:space="preserve">Q1 FY27 (E)</t>
        </is>
      </c>
      <c r="M4" s="5" t="inlineStr">
        <is>
          <t xml:space="preserve">Q2 FY27 (E)</t>
        </is>
      </c>
      <c r="N4" s="5" t="inlineStr">
        <is>
          <t xml:space="preserve">Q3 FY27 (E)</t>
        </is>
      </c>
      <c r="O4" s="5" t="inlineStr">
        <is>
          <t xml:space="preserve">Q4 FY27 (E)</t>
        </is>
      </c>
      <c r="P4" s="5" t="inlineStr">
        <is>
          <t xml:space="preserve">FY2027 (E)</t>
        </is>
      </c>
      <c r="Q4" s="5" t="inlineStr">
        <is>
          <t xml:space="preserve">Q1 FY28 (E)</t>
        </is>
      </c>
      <c r="R4" s="5" t="inlineStr">
        <is>
          <t xml:space="preserve">Q2 FY28 (E)</t>
        </is>
      </c>
      <c r="S4" s="5" t="inlineStr">
        <is>
          <t xml:space="preserve">Q3 FY28 (E)</t>
        </is>
      </c>
      <c r="T4" s="5" t="inlineStr">
        <is>
          <t xml:space="preserve">Q4 FY28 (E)</t>
        </is>
      </c>
      <c r="U4" s="5" t="inlineStr">
        <is>
          <t xml:space="preserve">FY2028 (E)</t>
        </is>
      </c>
    </row>
    <row r="5" ht="12" customHeight="1">
      <c r="A5" s="3"/>
      <c r="B5" s="6">
        <v>45627</v>
      </c>
      <c r="C5" s="6">
        <v>45717</v>
      </c>
      <c r="D5" s="6">
        <v>45809</v>
      </c>
      <c r="E5" s="6">
        <v>45901</v>
      </c>
      <c r="F5" s="6" t="inlineStr">
        <is>
          <t xml:space="preserve">Full Year</t>
        </is>
      </c>
      <c r="G5" s="6">
        <v>45992</v>
      </c>
      <c r="H5" s="6">
        <v>46082</v>
      </c>
      <c r="I5" s="6">
        <v>46174</v>
      </c>
      <c r="J5" s="7" t="inlineStr">
        <is>
          <t xml:space="preserve">Sep-26E</t>
        </is>
      </c>
      <c r="K5" s="7" t="inlineStr">
        <is>
          <t xml:space="preserve">Full Year</t>
        </is>
      </c>
      <c r="L5" s="7" t="inlineStr">
        <is>
          <t xml:space="preserve">Dec-26E</t>
        </is>
      </c>
      <c r="M5" s="7" t="inlineStr">
        <is>
          <t xml:space="preserve">Mar-27E</t>
        </is>
      </c>
      <c r="N5" s="7" t="inlineStr">
        <is>
          <t xml:space="preserve">Jun-27E</t>
        </is>
      </c>
      <c r="O5" s="7" t="inlineStr">
        <is>
          <t xml:space="preserve">Sep-27E</t>
        </is>
      </c>
      <c r="P5" s="7" t="inlineStr">
        <is>
          <t xml:space="preserve">Full Year</t>
        </is>
      </c>
      <c r="Q5" s="7" t="inlineStr">
        <is>
          <t xml:space="preserve">Dec-27E</t>
        </is>
      </c>
      <c r="R5" s="7" t="inlineStr">
        <is>
          <t xml:space="preserve">Mar-28E</t>
        </is>
      </c>
      <c r="S5" s="7" t="inlineStr">
        <is>
          <t xml:space="preserve">Jun-28E</t>
        </is>
      </c>
      <c r="T5" s="7" t="inlineStr">
        <is>
          <t xml:space="preserve">Sep-28E</t>
        </is>
      </c>
      <c r="U5" s="7" t="inlineStr">
        <is>
          <t xml:space="preserve">Full Year</t>
        </is>
      </c>
    </row>
    <row r="7">
      <c r="A7" t="inlineStr">
        <is>
          <t xml:space="preserve">Net sales: Products</t>
        </is>
      </c>
      <c r="B7" s="11">
        <v>97960</v>
      </c>
      <c r="C7" s="11">
        <v>68714</v>
      </c>
      <c r="D7" s="11">
        <v>66613</v>
      </c>
      <c r="E7" s="11">
        <v>73716</v>
      </c>
      <c r="F7" s="12">
        <f>SUM(B7:E7)</f>
        <v>307003</v>
      </c>
      <c r="G7" s="11">
        <v>113743</v>
      </c>
      <c r="H7" s="11">
        <v>80208</v>
      </c>
      <c r="I7" s="11">
        <v>78678</v>
      </c>
      <c r="J7" s="13">
        <f>E7*(1+J36)</f>
        <v>80203.008</v>
      </c>
      <c r="K7" s="12">
        <f>SUM(G7:J7)</f>
        <v>352832.00800000003</v>
      </c>
      <c r="L7" s="13">
        <f>G7*(1+L36)</f>
        <v>120567.58</v>
      </c>
      <c r="M7" s="13">
        <f>H7*(1+M36)</f>
        <v>85020.48000000001</v>
      </c>
      <c r="N7" s="13">
        <f>I7*(1+N36)</f>
        <v>83398.68000000001</v>
      </c>
      <c r="O7" s="13">
        <f>J7*(1+O36)</f>
        <v>85015.18848000001</v>
      </c>
      <c r="P7" s="12">
        <f>SUM(L7:O7)</f>
        <v>374001.92848</v>
      </c>
      <c r="Q7" s="13">
        <f>L7*(1+Q36)</f>
        <v>126595.959</v>
      </c>
      <c r="R7" s="13">
        <f>M7*(1+R36)</f>
        <v>89271.50400000002</v>
      </c>
      <c r="S7" s="13">
        <f>N7*(1+S36)</f>
        <v>87568.61400000002</v>
      </c>
      <c r="T7" s="13">
        <f>O7*(1+T36)</f>
        <v>89265.94790400002</v>
      </c>
      <c r="U7" s="12">
        <f>SUM(Q7:T7)</f>
        <v>392702.0249040001</v>
      </c>
    </row>
    <row r="8">
      <c r="A8" t="inlineStr">
        <is>
          <t xml:space="preserve">Net sales: Services</t>
        </is>
      </c>
      <c r="B8" s="11">
        <v>26340</v>
      </c>
      <c r="C8" s="11">
        <v>26645</v>
      </c>
      <c r="D8" s="11">
        <v>27423</v>
      </c>
      <c r="E8" s="11">
        <v>28750</v>
      </c>
      <c r="F8" s="12">
        <f>SUM(B8:E8)</f>
        <v>109158</v>
      </c>
      <c r="G8" s="11">
        <v>30013</v>
      </c>
      <c r="H8" s="11">
        <v>30976</v>
      </c>
      <c r="I8" s="11">
        <v>30739</v>
      </c>
      <c r="J8" s="13">
        <f>E8*(1+J37)</f>
        <v>32487.499999999996</v>
      </c>
      <c r="K8" s="12">
        <f>SUM(G8:J8)</f>
        <v>124215.5</v>
      </c>
      <c r="L8" s="13">
        <f>G8*(1+L37)</f>
        <v>34214.82000000001</v>
      </c>
      <c r="M8" s="13">
        <f>H8*(1+M37)</f>
        <v>35312.64000000001</v>
      </c>
      <c r="N8" s="13">
        <f>I8*(1+N37)</f>
        <v>35042.46000000001</v>
      </c>
      <c r="O8" s="13">
        <f>J8*(1+O37)</f>
        <v>37035.75</v>
      </c>
      <c r="P8" s="12">
        <f>SUM(L8:O8)</f>
        <v>141605.67000000004</v>
      </c>
      <c r="Q8" s="13">
        <f>L8*(1+Q37)</f>
        <v>38320.59840000001</v>
      </c>
      <c r="R8" s="13">
        <f>M8*(1+R37)</f>
        <v>39550.15680000001</v>
      </c>
      <c r="S8" s="13">
        <f>N8*(1+S37)</f>
        <v>39247.55520000001</v>
      </c>
      <c r="T8" s="13">
        <f>O8*(1+T37)</f>
        <v>41480.04</v>
      </c>
      <c r="U8" s="12">
        <f>SUM(Q8:T8)</f>
        <v>158598.35040000002</v>
      </c>
    </row>
    <row r="9">
      <c r="A9" s="9" t="inlineStr">
        <is>
          <t xml:space="preserve">Total net sales</t>
        </is>
      </c>
      <c r="B9" s="14">
        <f>B7+B8</f>
        <v>124300</v>
      </c>
      <c r="C9" s="14">
        <f>C7+C8</f>
        <v>95359</v>
      </c>
      <c r="D9" s="14">
        <f>D7+D8</f>
        <v>94036</v>
      </c>
      <c r="E9" s="14">
        <f>E7+E8</f>
        <v>102466</v>
      </c>
      <c r="F9" s="15">
        <f>F7+F8</f>
        <v>416161</v>
      </c>
      <c r="G9" s="14">
        <f>G7+G8</f>
        <v>143756</v>
      </c>
      <c r="H9" s="14">
        <f>H7+H8</f>
        <v>111184</v>
      </c>
      <c r="I9" s="14">
        <f>I7+I8</f>
        <v>109417</v>
      </c>
      <c r="J9" s="14">
        <f>J7+J8</f>
        <v>112690.508</v>
      </c>
      <c r="K9" s="15">
        <f>K7+K8</f>
        <v>477047.508</v>
      </c>
      <c r="L9" s="14">
        <f>L7+L8</f>
        <v>154782.40000000002</v>
      </c>
      <c r="M9" s="14">
        <f>M7+M8</f>
        <v>120333.12000000002</v>
      </c>
      <c r="N9" s="14">
        <f>N7+N8</f>
        <v>118441.14</v>
      </c>
      <c r="O9" s="14">
        <f>O7+O8</f>
        <v>122050.93848</v>
      </c>
      <c r="P9" s="15">
        <f>P7+P8</f>
        <v>515607.59848</v>
      </c>
      <c r="Q9" s="14">
        <f>Q7+Q8</f>
        <v>164916.55740000002</v>
      </c>
      <c r="R9" s="14">
        <f>R7+R8</f>
        <v>128821.66080000004</v>
      </c>
      <c r="S9" s="14">
        <f>S7+S8</f>
        <v>126816.16920000003</v>
      </c>
      <c r="T9" s="14">
        <f>T7+T8</f>
        <v>130745.987904</v>
      </c>
      <c r="U9" s="15">
        <f>U7+U8</f>
        <v>551300.3753040001</v>
      </c>
    </row>
    <row r="10">
      <c r="A10" s="23" t="inlineStr">
        <is>
          <t xml:space="preserve">  YoY growth %</t>
        </is>
      </c>
      <c r="B10" s="16"/>
      <c r="C10" s="16"/>
      <c r="D10" s="16"/>
      <c r="E10" s="16"/>
      <c r="F10" s="16"/>
      <c r="G10" s="16">
        <f>G9/B9-1</f>
        <v>0.15652453740949324</v>
      </c>
      <c r="H10" s="16">
        <f>H9/C9-1</f>
        <v>0.16595182415922993</v>
      </c>
      <c r="I10" s="16">
        <f>I9/D9-1</f>
        <v>0.16356501765281384</v>
      </c>
      <c r="J10" s="16">
        <f>J9/E9-1</f>
        <v>0.09978439677551589</v>
      </c>
      <c r="K10" s="16">
        <f>K9/F9-1</f>
        <v>0.14630517516057484</v>
      </c>
      <c r="L10" s="16">
        <f>L9/G9-1</f>
        <v>0.07670218982164245</v>
      </c>
      <c r="M10" s="16">
        <f>M9/H9-1</f>
        <v>0.08228809900705158</v>
      </c>
      <c r="N10" s="16">
        <f>N9/I9-1</f>
        <v>0.08247475255216297</v>
      </c>
      <c r="O10" s="16">
        <f>O9/J9-1</f>
        <v>0.08306316695280147</v>
      </c>
      <c r="P10" s="16">
        <f>P9/K9-1</f>
        <v>0.08083071357329041</v>
      </c>
      <c r="Q10" s="16">
        <f>Q9/L9-1</f>
        <v>0.06547357709920498</v>
      </c>
      <c r="R10" s="16">
        <f>R9/M9-1</f>
        <v>0.07054201536534577</v>
      </c>
      <c r="S10" s="16">
        <f>S9/N9-1</f>
        <v>0.07071047441792633</v>
      </c>
      <c r="T10" s="16">
        <f>T9/O9-1</f>
        <v>0.07124115170507128</v>
      </c>
      <c r="U10" s="16">
        <f>U9/P9-1</f>
        <v>0.06922469127534492</v>
      </c>
    </row>
    <row r="11">
      <c r="B11" s="13"/>
      <c r="C11" s="13"/>
      <c r="D11" s="13"/>
      <c r="E11" s="13"/>
      <c r="F11" s="12"/>
      <c r="G11" s="13"/>
      <c r="H11" s="13"/>
      <c r="I11" s="13"/>
      <c r="J11" s="13"/>
      <c r="K11" s="12"/>
      <c r="L11" s="13"/>
      <c r="M11" s="13"/>
      <c r="N11" s="13"/>
      <c r="O11" s="13"/>
      <c r="P11" s="12"/>
      <c r="Q11" s="13"/>
      <c r="R11" s="13"/>
      <c r="S11" s="13"/>
      <c r="T11" s="13"/>
      <c r="U11" s="12"/>
    </row>
    <row r="12">
      <c r="A12" t="inlineStr">
        <is>
          <t xml:space="preserve">Total cost of sales</t>
        </is>
      </c>
      <c r="B12" s="11">
        <v>66025</v>
      </c>
      <c r="C12" s="11">
        <v>50492</v>
      </c>
      <c r="D12" s="11">
        <v>50318</v>
      </c>
      <c r="E12" s="11">
        <v>54125</v>
      </c>
      <c r="F12" s="12">
        <f>SUM(B12:E12)</f>
        <v>220960</v>
      </c>
      <c r="G12" s="11">
        <v>74525</v>
      </c>
      <c r="H12" s="11">
        <v>56403</v>
      </c>
      <c r="I12" s="11">
        <v>54647</v>
      </c>
      <c r="J12" s="13">
        <f>J9*(1-J38)</f>
        <v>59162.5167</v>
      </c>
      <c r="K12" s="12">
        <f>SUM(G12:J12)</f>
        <v>244737.5167</v>
      </c>
      <c r="L12" s="13">
        <f>L9*(1-L38)</f>
        <v>80486.84800000001</v>
      </c>
      <c r="M12" s="13">
        <f>M9*(1-M38)</f>
        <v>62573.22240000001</v>
      </c>
      <c r="N12" s="13">
        <f>N9*(1-N38)</f>
        <v>61589.39280000001</v>
      </c>
      <c r="O12" s="13">
        <f>O9*(1-O38)</f>
        <v>63466.488009600005</v>
      </c>
      <c r="P12" s="12">
        <f>SUM(L12:O12)</f>
        <v>268115.9512096</v>
      </c>
      <c r="Q12" s="13">
        <f>Q9*(1-Q38)</f>
        <v>84932.02706100002</v>
      </c>
      <c r="R12" s="13">
        <f>R9*(1-R38)</f>
        <v>66343.15531200002</v>
      </c>
      <c r="S12" s="13">
        <f>S9*(1-S38)</f>
        <v>65310.327138000015</v>
      </c>
      <c r="T12" s="13">
        <f>T9*(1-T38)</f>
        <v>67334.18377056</v>
      </c>
      <c r="U12" s="12">
        <f>SUM(Q12:T12)</f>
        <v>283919.69328156003</v>
      </c>
    </row>
    <row r="13">
      <c r="A13" s="9" t="inlineStr">
        <is>
          <t xml:space="preserve">Gross margin ($)</t>
        </is>
      </c>
      <c r="B13" s="14">
        <f>B9-B12</f>
        <v>58275</v>
      </c>
      <c r="C13" s="14">
        <f>C9-C12</f>
        <v>44867</v>
      </c>
      <c r="D13" s="14">
        <f>D9-D12</f>
        <v>43718</v>
      </c>
      <c r="E13" s="14">
        <f>E9-E12</f>
        <v>48341</v>
      </c>
      <c r="F13" s="15">
        <f>F9-F12</f>
        <v>195201</v>
      </c>
      <c r="G13" s="14">
        <f>G9-G12</f>
        <v>69231</v>
      </c>
      <c r="H13" s="14">
        <f>H9-H12</f>
        <v>54781</v>
      </c>
      <c r="I13" s="14">
        <f>I9-I12</f>
        <v>54770</v>
      </c>
      <c r="J13" s="14">
        <f>J9-J12</f>
        <v>53527.9913</v>
      </c>
      <c r="K13" s="15">
        <f>K9-K12</f>
        <v>232309.9913</v>
      </c>
      <c r="L13" s="14">
        <f>L9-L12</f>
        <v>74295.55200000001</v>
      </c>
      <c r="M13" s="14">
        <f>M9-M12</f>
        <v>57759.89760000001</v>
      </c>
      <c r="N13" s="14">
        <f>N9-N12</f>
        <v>56851.747200000005</v>
      </c>
      <c r="O13" s="14">
        <f>O9-O12</f>
        <v>58584.45047040001</v>
      </c>
      <c r="P13" s="15">
        <f>P9-P12</f>
        <v>247491.6472704</v>
      </c>
      <c r="Q13" s="14">
        <f>Q9-Q12</f>
        <v>79984.530339</v>
      </c>
      <c r="R13" s="14">
        <f>R9-R12</f>
        <v>62478.50548800001</v>
      </c>
      <c r="S13" s="14">
        <f>S9-S12</f>
        <v>61505.84206200002</v>
      </c>
      <c r="T13" s="14">
        <f>T9-T12</f>
        <v>63411.80413344</v>
      </c>
      <c r="U13" s="15">
        <f>U9-U12</f>
        <v>267380.6820224401</v>
      </c>
    </row>
    <row r="14">
      <c r="A14" s="23" t="inlineStr">
        <is>
          <t xml:space="preserve">  Gross margin %</t>
        </is>
      </c>
      <c r="B14" s="16">
        <f>B13/B9</f>
        <v>0.4688254223652454</v>
      </c>
      <c r="C14" s="16">
        <f>C13/C9</f>
        <v>0.47050619238876246</v>
      </c>
      <c r="D14" s="16">
        <f>D13/D9</f>
        <v>0.4649070568718363</v>
      </c>
      <c r="E14" s="16">
        <f>E13/E9</f>
        <v>0.47177600374758455</v>
      </c>
      <c r="F14" s="16">
        <f>F13/F9</f>
        <v>0.4690516410716045</v>
      </c>
      <c r="G14" s="16">
        <f>G13/G9</f>
        <v>0.4815868555051615</v>
      </c>
      <c r="H14" s="16">
        <f>H13/H9</f>
        <v>0.4927057850050367</v>
      </c>
      <c r="I14" s="16">
        <f>I13/I9</f>
        <v>0.500562069879452</v>
      </c>
      <c r="J14" s="16">
        <f>J13/J9</f>
        <v>0.475</v>
      </c>
      <c r="K14" s="16">
        <f>K13/K9</f>
        <v>0.4869745411184498</v>
      </c>
      <c r="L14" s="16">
        <f>L13/L9</f>
        <v>0.48</v>
      </c>
      <c r="M14" s="16">
        <f>M13/M9</f>
        <v>0.48</v>
      </c>
      <c r="N14" s="16">
        <f>N13/N9</f>
        <v>0.48</v>
      </c>
      <c r="O14" s="16">
        <f>O13/O9</f>
        <v>0.48</v>
      </c>
      <c r="P14" s="16">
        <f>P13/P9</f>
        <v>0.48</v>
      </c>
      <c r="Q14" s="16">
        <f>Q13/Q9</f>
        <v>0.485</v>
      </c>
      <c r="R14" s="16">
        <f>R13/R9</f>
        <v>0.485</v>
      </c>
      <c r="S14" s="16">
        <f>S13/S9</f>
        <v>0.485</v>
      </c>
      <c r="T14" s="16">
        <f>T13/T9</f>
        <v>0.485</v>
      </c>
      <c r="U14" s="16">
        <f>U13/U9</f>
        <v>0.485</v>
      </c>
    </row>
    <row r="15">
      <c r="B15" s="13"/>
      <c r="C15" s="13"/>
      <c r="D15" s="13"/>
      <c r="E15" s="13"/>
      <c r="F15" s="12"/>
      <c r="G15" s="13"/>
      <c r="H15" s="13"/>
      <c r="I15" s="13"/>
      <c r="J15" s="13"/>
      <c r="K15" s="12"/>
      <c r="L15" s="13"/>
      <c r="M15" s="13"/>
      <c r="N15" s="13"/>
      <c r="O15" s="13"/>
      <c r="P15" s="12"/>
      <c r="Q15" s="13"/>
      <c r="R15" s="13"/>
      <c r="S15" s="13"/>
      <c r="T15" s="13"/>
      <c r="U15" s="12"/>
    </row>
    <row r="16">
      <c r="A16" t="inlineStr">
        <is>
          <t xml:space="preserve">Research and development</t>
        </is>
      </c>
      <c r="B16" s="11">
        <v>8268</v>
      </c>
      <c r="C16" s="11">
        <v>8550</v>
      </c>
      <c r="D16" s="11">
        <v>8866</v>
      </c>
      <c r="E16" s="11">
        <v>8866</v>
      </c>
      <c r="F16" s="12">
        <f>SUM(B16:E16)</f>
        <v>34550</v>
      </c>
      <c r="G16" s="11">
        <v>10887</v>
      </c>
      <c r="H16" s="11">
        <v>11419</v>
      </c>
      <c r="I16" s="11">
        <v>11729</v>
      </c>
      <c r="J16" s="13">
        <f>J9*J39</f>
        <v>11607.122324</v>
      </c>
      <c r="K16" s="12">
        <f>SUM(G16:J16)</f>
        <v>45642.122324</v>
      </c>
      <c r="L16" s="13">
        <f>L9*L39</f>
        <v>16252.152000000002</v>
      </c>
      <c r="M16" s="13">
        <f>M9*M39</f>
        <v>12634.977600000002</v>
      </c>
      <c r="N16" s="13">
        <f>N9*N39</f>
        <v>12436.319700000002</v>
      </c>
      <c r="O16" s="13">
        <f>O9*O39</f>
        <v>12815.3485404</v>
      </c>
      <c r="P16" s="12">
        <f>SUM(L16:O16)</f>
        <v>54138.79784040001</v>
      </c>
      <c r="Q16" s="13">
        <f>Q9*Q39</f>
        <v>17646.0716418</v>
      </c>
      <c r="R16" s="13">
        <f>R9*R39</f>
        <v>13783.917705600004</v>
      </c>
      <c r="S16" s="13">
        <f>S9*S39</f>
        <v>13569.330104400004</v>
      </c>
      <c r="T16" s="13">
        <f>T9*T39</f>
        <v>13989.820705728</v>
      </c>
      <c r="U16" s="12">
        <f>SUM(Q16:T16)</f>
        <v>58989.14015752801</v>
      </c>
    </row>
    <row r="17">
      <c r="A17" t="inlineStr">
        <is>
          <t xml:space="preserve">Selling, general and administrative</t>
        </is>
      </c>
      <c r="B17" s="11">
        <v>7175</v>
      </c>
      <c r="C17" s="11">
        <v>6728</v>
      </c>
      <c r="D17" s="11">
        <v>6650</v>
      </c>
      <c r="E17" s="11">
        <v>7048</v>
      </c>
      <c r="F17" s="12">
        <f>SUM(B17:E17)</f>
        <v>27601</v>
      </c>
      <c r="G17" s="11">
        <v>7492</v>
      </c>
      <c r="H17" s="11">
        <v>7477</v>
      </c>
      <c r="I17" s="11">
        <v>7346</v>
      </c>
      <c r="J17" s="13">
        <f>J9*J40</f>
        <v>7775.645052000001</v>
      </c>
      <c r="K17" s="12">
        <f>SUM(G17:J17)</f>
        <v>30090.645052</v>
      </c>
      <c r="L17" s="13">
        <f>L9*L40</f>
        <v>10525.203200000002</v>
      </c>
      <c r="M17" s="13">
        <f>M9*M40</f>
        <v>8182.652160000002</v>
      </c>
      <c r="N17" s="13">
        <f>N9*N40</f>
        <v>8053.997520000002</v>
      </c>
      <c r="O17" s="13">
        <f>O9*O40</f>
        <v>8299.463816640002</v>
      </c>
      <c r="P17" s="12">
        <f>SUM(L17:O17)</f>
        <v>35061.31669664001</v>
      </c>
      <c r="Q17" s="13">
        <f>Q9*Q40</f>
        <v>11049.409345800002</v>
      </c>
      <c r="R17" s="13">
        <f>R9*R40</f>
        <v>8631.051273600002</v>
      </c>
      <c r="S17" s="13">
        <f>S9*S40</f>
        <v>8496.683336400003</v>
      </c>
      <c r="T17" s="13">
        <f>T9*T40</f>
        <v>8759.981189568001</v>
      </c>
      <c r="U17" s="12">
        <f>SUM(Q17:T17)</f>
        <v>36937.12514536801</v>
      </c>
    </row>
    <row r="18">
      <c r="A18" t="inlineStr">
        <is>
          <t xml:space="preserve">Total operating expenses</t>
        </is>
      </c>
      <c r="B18" s="13">
        <f>B16+B17</f>
        <v>15443</v>
      </c>
      <c r="C18" s="13">
        <f>C16+C17</f>
        <v>15278</v>
      </c>
      <c r="D18" s="13">
        <f>D16+D17</f>
        <v>15516</v>
      </c>
      <c r="E18" s="13">
        <f>E16+E17</f>
        <v>15914</v>
      </c>
      <c r="F18" s="12">
        <f>F16+F17</f>
        <v>62151</v>
      </c>
      <c r="G18" s="13">
        <f>G16+G17</f>
        <v>18379</v>
      </c>
      <c r="H18" s="13">
        <f>H16+H17</f>
        <v>18896</v>
      </c>
      <c r="I18" s="13">
        <f>I16+I17</f>
        <v>19075</v>
      </c>
      <c r="J18" s="13">
        <f>J16+J17</f>
        <v>19382.767376</v>
      </c>
      <c r="K18" s="12">
        <f>K16+K17</f>
        <v>75732.767376</v>
      </c>
      <c r="L18" s="13">
        <f>L16+L17</f>
        <v>26777.355200000005</v>
      </c>
      <c r="M18" s="13">
        <f>M16+M17</f>
        <v>20817.629760000003</v>
      </c>
      <c r="N18" s="13">
        <f>N16+N17</f>
        <v>20490.317220000004</v>
      </c>
      <c r="O18" s="13">
        <f>O16+O17</f>
        <v>21114.81235704</v>
      </c>
      <c r="P18" s="12">
        <f>P16+P17</f>
        <v>89200.11453704002</v>
      </c>
      <c r="Q18" s="13">
        <f>Q16+Q17</f>
        <v>28695.480987600004</v>
      </c>
      <c r="R18" s="13">
        <f>R16+R17</f>
        <v>22414.968979200006</v>
      </c>
      <c r="S18" s="13">
        <f>S16+S17</f>
        <v>22066.01344080001</v>
      </c>
      <c r="T18" s="13">
        <f>T16+T17</f>
        <v>22749.801895296005</v>
      </c>
      <c r="U18" s="12">
        <f>U16+U17</f>
        <v>95926.26530289602</v>
      </c>
    </row>
    <row r="19">
      <c r="A19" s="9" t="inlineStr">
        <is>
          <t xml:space="preserve">Operating income</t>
        </is>
      </c>
      <c r="B19" s="14">
        <f>B13-B18</f>
        <v>42832</v>
      </c>
      <c r="C19" s="14">
        <f>C13-C18</f>
        <v>29589</v>
      </c>
      <c r="D19" s="14">
        <f>D13-D18</f>
        <v>28202</v>
      </c>
      <c r="E19" s="14">
        <f>E13-E18</f>
        <v>32427</v>
      </c>
      <c r="F19" s="15">
        <f>F13-F18</f>
        <v>133050</v>
      </c>
      <c r="G19" s="14">
        <f>G13-G18</f>
        <v>50852</v>
      </c>
      <c r="H19" s="14">
        <f>H13-H18</f>
        <v>35885</v>
      </c>
      <c r="I19" s="14">
        <f>I13-I18</f>
        <v>35695</v>
      </c>
      <c r="J19" s="14">
        <f>J13-J18</f>
        <v>34145.223924000005</v>
      </c>
      <c r="K19" s="15">
        <f>K13-K18</f>
        <v>156577.22392400002</v>
      </c>
      <c r="L19" s="14">
        <f>L13-L18</f>
        <v>47518.196800000005</v>
      </c>
      <c r="M19" s="14">
        <f>M13-M18</f>
        <v>36942.26784000001</v>
      </c>
      <c r="N19" s="14">
        <f>N13-N18</f>
        <v>36361.42998</v>
      </c>
      <c r="O19" s="14">
        <f>O13-O18</f>
        <v>37469.63811336001</v>
      </c>
      <c r="P19" s="15">
        <f>P13-P18</f>
        <v>158291.53273336</v>
      </c>
      <c r="Q19" s="14">
        <f>Q13-Q18</f>
        <v>51289.0493514</v>
      </c>
      <c r="R19" s="14">
        <f>R13-R18</f>
        <v>40063.5365088</v>
      </c>
      <c r="S19" s="14">
        <f>S13-S18</f>
        <v>39439.82862120001</v>
      </c>
      <c r="T19" s="14">
        <f>T13-T18</f>
        <v>40662.002238144</v>
      </c>
      <c r="U19" s="15">
        <f>U13-U18</f>
        <v>171454.41671954404</v>
      </c>
    </row>
    <row r="20">
      <c r="A20" s="23" t="inlineStr">
        <is>
          <t xml:space="preserve">  Operating margin %</t>
        </is>
      </c>
      <c r="B20" s="16">
        <f>B19/B9</f>
        <v>0.34458567980691873</v>
      </c>
      <c r="C20" s="16">
        <f>C19/C9</f>
        <v>0.31029058610094484</v>
      </c>
      <c r="D20" s="16">
        <f>D19/D9</f>
        <v>0.2999064188183249</v>
      </c>
      <c r="E20" s="16">
        <f>E19/E9</f>
        <v>0.3164659496808698</v>
      </c>
      <c r="F20" s="16">
        <f>F19/F9</f>
        <v>0.31970799762591884</v>
      </c>
      <c r="G20" s="16">
        <f>G19/G9</f>
        <v>0.35373827875010433</v>
      </c>
      <c r="H20" s="16">
        <f>H19/H9</f>
        <v>0.32275327385235286</v>
      </c>
      <c r="I20" s="16">
        <f>I19/I9</f>
        <v>0.3262290137729969</v>
      </c>
      <c r="J20" s="16">
        <f>J19/J9</f>
        <v>0.30300000000000005</v>
      </c>
      <c r="K20" s="16">
        <f>K19/K9</f>
        <v>0.3282214481749269</v>
      </c>
      <c r="L20" s="16">
        <f>L19/L9</f>
        <v>0.307</v>
      </c>
      <c r="M20" s="16">
        <f>M19/M9</f>
        <v>0.307</v>
      </c>
      <c r="N20" s="16">
        <f>N19/N9</f>
        <v>0.307</v>
      </c>
      <c r="O20" s="16">
        <f>O19/O9</f>
        <v>0.30700000000000005</v>
      </c>
      <c r="P20" s="16">
        <f>P19/P9</f>
        <v>0.307</v>
      </c>
      <c r="Q20" s="16">
        <f>Q19/Q9</f>
        <v>0.31099999999999994</v>
      </c>
      <c r="R20" s="16">
        <f>R19/R9</f>
        <v>0.31099999999999994</v>
      </c>
      <c r="S20" s="16">
        <f>S19/S9</f>
        <v>0.311</v>
      </c>
      <c r="T20" s="16">
        <f>T19/T9</f>
        <v>0.311</v>
      </c>
      <c r="U20" s="16">
        <f>U19/U9</f>
        <v>0.311</v>
      </c>
    </row>
    <row r="21">
      <c r="B21" s="13"/>
      <c r="C21" s="13"/>
      <c r="D21" s="13"/>
      <c r="E21" s="13"/>
      <c r="F21" s="12"/>
      <c r="G21" s="13"/>
      <c r="H21" s="13"/>
      <c r="I21" s="13"/>
      <c r="J21" s="13"/>
      <c r="K21" s="12"/>
      <c r="L21" s="13"/>
      <c r="M21" s="13"/>
      <c r="N21" s="13"/>
      <c r="O21" s="13"/>
      <c r="P21" s="12"/>
      <c r="Q21" s="13"/>
      <c r="R21" s="13"/>
      <c r="S21" s="13"/>
      <c r="T21" s="13"/>
      <c r="U21" s="12"/>
    </row>
    <row r="22">
      <c r="A22" t="inlineStr">
        <is>
          <t xml:space="preserve">Other income/(expense), net</t>
        </is>
      </c>
      <c r="B22" s="11">
        <v>-248</v>
      </c>
      <c r="C22" s="11">
        <v>-279</v>
      </c>
      <c r="D22" s="11">
        <v>-171</v>
      </c>
      <c r="E22" s="11">
        <v>377</v>
      </c>
      <c r="F22" s="12">
        <f>SUM(B22:E22)</f>
        <v>-321</v>
      </c>
      <c r="G22" s="11">
        <v>150</v>
      </c>
      <c r="H22" s="11">
        <v>-52</v>
      </c>
      <c r="I22" s="11">
        <v>572</v>
      </c>
      <c r="J22" s="11">
        <v>300</v>
      </c>
      <c r="K22" s="12">
        <f>SUM(G22:J22)</f>
        <v>970</v>
      </c>
      <c r="L22" s="11">
        <v>350</v>
      </c>
      <c r="M22" s="11">
        <v>350</v>
      </c>
      <c r="N22" s="11">
        <v>350</v>
      </c>
      <c r="O22" s="11">
        <v>350</v>
      </c>
      <c r="P22" s="12">
        <f>SUM(L22:O22)</f>
        <v>1400</v>
      </c>
      <c r="Q22" s="11">
        <v>400</v>
      </c>
      <c r="R22" s="11">
        <v>400</v>
      </c>
      <c r="S22" s="11">
        <v>400</v>
      </c>
      <c r="T22" s="11">
        <v>400</v>
      </c>
      <c r="U22" s="12">
        <f>SUM(Q22:T22)</f>
        <v>1600</v>
      </c>
    </row>
    <row r="23">
      <c r="A23" t="inlineStr">
        <is>
          <t xml:space="preserve">Income before provision for income taxes</t>
        </is>
      </c>
      <c r="B23" s="13">
        <f>B19+B22</f>
        <v>42584</v>
      </c>
      <c r="C23" s="13">
        <f>C19+C22</f>
        <v>29310</v>
      </c>
      <c r="D23" s="13">
        <f>D19+D22</f>
        <v>28031</v>
      </c>
      <c r="E23" s="13">
        <f>E19+E22</f>
        <v>32804</v>
      </c>
      <c r="F23" s="12">
        <f>F19+F22</f>
        <v>132729</v>
      </c>
      <c r="G23" s="13">
        <f>G19+G22</f>
        <v>51002</v>
      </c>
      <c r="H23" s="13">
        <f>H19+H22</f>
        <v>35833</v>
      </c>
      <c r="I23" s="13">
        <f>I19+I22</f>
        <v>36267</v>
      </c>
      <c r="J23" s="13">
        <f>J19+J22</f>
        <v>34445.223924000005</v>
      </c>
      <c r="K23" s="12">
        <f>K19+K22</f>
        <v>157547.22392400002</v>
      </c>
      <c r="L23" s="13">
        <f>L19+L22</f>
        <v>47868.196800000005</v>
      </c>
      <c r="M23" s="13">
        <f>M19+M22</f>
        <v>37292.26784000001</v>
      </c>
      <c r="N23" s="13">
        <f>N19+N22</f>
        <v>36711.42998</v>
      </c>
      <c r="O23" s="13">
        <f>O19+O22</f>
        <v>37819.63811336001</v>
      </c>
      <c r="P23" s="12">
        <f>P19+P22</f>
        <v>159691.53273336</v>
      </c>
      <c r="Q23" s="13">
        <f>Q19+Q22</f>
        <v>51689.0493514</v>
      </c>
      <c r="R23" s="13">
        <f>R19+R22</f>
        <v>40463.5365088</v>
      </c>
      <c r="S23" s="13">
        <f>S19+S22</f>
        <v>39839.82862120001</v>
      </c>
      <c r="T23" s="13">
        <f>T19+T22</f>
        <v>41062.002238144</v>
      </c>
      <c r="U23" s="12">
        <f>U19+U22</f>
        <v>173054.41671954404</v>
      </c>
    </row>
    <row r="24">
      <c r="A24" t="inlineStr">
        <is>
          <t xml:space="preserve">Provision for income taxes</t>
        </is>
      </c>
      <c r="B24" s="11">
        <v>6254</v>
      </c>
      <c r="C24" s="11">
        <v>4530</v>
      </c>
      <c r="D24" s="11">
        <v>4597</v>
      </c>
      <c r="E24" s="11">
        <v>5338</v>
      </c>
      <c r="F24" s="12">
        <f>SUM(B24:E24)</f>
        <v>20719</v>
      </c>
      <c r="G24" s="11">
        <v>8905</v>
      </c>
      <c r="H24" s="11">
        <v>6255</v>
      </c>
      <c r="I24" s="11">
        <v>6478</v>
      </c>
      <c r="J24" s="13">
        <f>J23*J41</f>
        <v>6062.359410624001</v>
      </c>
      <c r="K24" s="12">
        <f>SUM(G24:J24)</f>
        <v>27700.359410624</v>
      </c>
      <c r="L24" s="13">
        <f>L23*L41</f>
        <v>8376.93444</v>
      </c>
      <c r="M24" s="13">
        <f>M23*M41</f>
        <v>6526.146872000001</v>
      </c>
      <c r="N24" s="13">
        <f>N23*N41</f>
        <v>6424.5002465</v>
      </c>
      <c r="O24" s="13">
        <f>O23*O41</f>
        <v>6618.436669838001</v>
      </c>
      <c r="P24" s="12">
        <f>SUM(L24:O24)</f>
        <v>27946.018228338</v>
      </c>
      <c r="Q24" s="13">
        <f>Q23*Q41</f>
        <v>9045.583636495</v>
      </c>
      <c r="R24" s="13">
        <f>R23*R41</f>
        <v>7081.11888904</v>
      </c>
      <c r="S24" s="13">
        <f>S23*S41</f>
        <v>6971.970008710001</v>
      </c>
      <c r="T24" s="13">
        <f>T23*T41</f>
        <v>7185.8503916752</v>
      </c>
      <c r="U24" s="12">
        <f>SUM(Q24:T24)</f>
        <v>30284.5229259202</v>
      </c>
    </row>
    <row r="25">
      <c r="A25" s="23" t="inlineStr">
        <is>
          <t xml:space="preserve">  Effective tax rate %</t>
        </is>
      </c>
      <c r="B25" s="16">
        <f>B24/B23</f>
        <v>0.14686267142588766</v>
      </c>
      <c r="C25" s="16">
        <f>C24/C23</f>
        <v>0.15455475946775846</v>
      </c>
      <c r="D25" s="16">
        <f>D24/D23</f>
        <v>0.16399700331775535</v>
      </c>
      <c r="E25" s="16">
        <f>E24/E23</f>
        <v>0.16272405804170223</v>
      </c>
      <c r="F25" s="16">
        <f>F24/F23</f>
        <v>0.15610002335586043</v>
      </c>
      <c r="G25" s="16">
        <f>G24/G23</f>
        <v>0.174600996039371</v>
      </c>
      <c r="H25" s="16">
        <f>H24/H23</f>
        <v>0.17455976334663578</v>
      </c>
      <c r="I25" s="16">
        <f>I24/I23</f>
        <v>0.1786196818043952</v>
      </c>
      <c r="J25" s="16">
        <f>J24/J23</f>
        <v>0.176</v>
      </c>
      <c r="K25" s="16">
        <f>K24/K23</f>
        <v>0.1758225801806988</v>
      </c>
      <c r="L25" s="16">
        <f>L24/L23</f>
        <v>0.175</v>
      </c>
      <c r="M25" s="16">
        <f>M24/M23</f>
        <v>0.175</v>
      </c>
      <c r="N25" s="16">
        <f>N24/N23</f>
        <v>0.175</v>
      </c>
      <c r="O25" s="16">
        <f>O24/O23</f>
        <v>0.175</v>
      </c>
      <c r="P25" s="16">
        <f>P24/P23</f>
        <v>0.175</v>
      </c>
      <c r="Q25" s="16">
        <f>Q24/Q23</f>
        <v>0.175</v>
      </c>
      <c r="R25" s="16">
        <f>R24/R23</f>
        <v>0.175</v>
      </c>
      <c r="S25" s="16">
        <f>S24/S23</f>
        <v>0.175</v>
      </c>
      <c r="T25" s="16">
        <f>T24/T23</f>
        <v>0.175</v>
      </c>
      <c r="U25" s="16">
        <f>U24/U23</f>
        <v>0.17499999999999996</v>
      </c>
    </row>
    <row r="26">
      <c r="A26" s="9" t="inlineStr">
        <is>
          <t xml:space="preserve">Net income</t>
        </is>
      </c>
      <c r="B26" s="14">
        <f>B23-B24</f>
        <v>36330</v>
      </c>
      <c r="C26" s="14">
        <f>C23-C24</f>
        <v>24780</v>
      </c>
      <c r="D26" s="14">
        <f>D23-D24</f>
        <v>23434</v>
      </c>
      <c r="E26" s="14">
        <f>E23-E24</f>
        <v>27466</v>
      </c>
      <c r="F26" s="15">
        <f>F23-F24</f>
        <v>112010</v>
      </c>
      <c r="G26" s="14">
        <f>G23-G24</f>
        <v>42097</v>
      </c>
      <c r="H26" s="14">
        <f>H23-H24</f>
        <v>29578</v>
      </c>
      <c r="I26" s="14">
        <f>I23-I24</f>
        <v>29789</v>
      </c>
      <c r="J26" s="14">
        <f>J23-J24</f>
        <v>28382.864513376004</v>
      </c>
      <c r="K26" s="15">
        <f>K23-K24</f>
        <v>129846.864513376</v>
      </c>
      <c r="L26" s="14">
        <f>L23-L24</f>
        <v>39491.26236000001</v>
      </c>
      <c r="M26" s="14">
        <f>M23-M24</f>
        <v>30766.120968000007</v>
      </c>
      <c r="N26" s="14">
        <f>N23-N24</f>
        <v>30286.9297335</v>
      </c>
      <c r="O26" s="14">
        <f>O23-O24</f>
        <v>31201.201443522008</v>
      </c>
      <c r="P26" s="15">
        <f>P23-P24</f>
        <v>131745.514505022</v>
      </c>
      <c r="Q26" s="14">
        <f>Q23-Q24</f>
        <v>42643.46571490499</v>
      </c>
      <c r="R26" s="14">
        <f>R23-R24</f>
        <v>33382.41761976</v>
      </c>
      <c r="S26" s="14">
        <f>S23-S24</f>
        <v>32867.85861249001</v>
      </c>
      <c r="T26" s="14">
        <f>T23-T24</f>
        <v>33876.1518464688</v>
      </c>
      <c r="U26" s="15">
        <f>U23-U24</f>
        <v>142769.89379362384</v>
      </c>
    </row>
    <row r="27">
      <c r="A27" s="23" t="inlineStr">
        <is>
          <t xml:space="preserve">  Net margin %</t>
        </is>
      </c>
      <c r="B27" s="16">
        <f>B26/B9</f>
        <v>0.2922767497988737</v>
      </c>
      <c r="C27" s="16">
        <f>C26/C9</f>
        <v>0.25986010759341016</v>
      </c>
      <c r="D27" s="16">
        <f>D26/D9</f>
        <v>0.24920243311072351</v>
      </c>
      <c r="E27" s="16">
        <f>E26/E9</f>
        <v>0.2680498897195167</v>
      </c>
      <c r="F27" s="16">
        <f>F26/F9</f>
        <v>0.2691506412181824</v>
      </c>
      <c r="G27" s="16">
        <f>G26/G9</f>
        <v>0.292836472912435</v>
      </c>
      <c r="H27" s="16">
        <f>H26/H9</f>
        <v>0.2660274859692042</v>
      </c>
      <c r="I27" s="16">
        <f>I26/I9</f>
        <v>0.2722520266503377</v>
      </c>
      <c r="J27" s="16">
        <f>J26/J9</f>
        <v>0.2518656186497624</v>
      </c>
      <c r="K27" s="16">
        <f>K26/K9</f>
        <v>0.27218853958121086</v>
      </c>
      <c r="L27" s="16">
        <f>L26/L9</f>
        <v>0.2551405221782322</v>
      </c>
      <c r="M27" s="16">
        <f>M26/M9</f>
        <v>0.25567458874165316</v>
      </c>
      <c r="N27" s="16">
        <f>N26/N9</f>
        <v>0.2557129197971245</v>
      </c>
      <c r="O27" s="16">
        <f>O26/O9</f>
        <v>0.2556408154832404</v>
      </c>
      <c r="P27" s="16">
        <f>P26/P9</f>
        <v>0.25551507559897274</v>
      </c>
      <c r="Q27" s="16">
        <f>Q26/Q9</f>
        <v>0.25857601193720403</v>
      </c>
      <c r="R27" s="16">
        <f>R26/R9</f>
        <v>0.2591366809933256</v>
      </c>
      <c r="S27" s="16">
        <f>S26/S9</f>
        <v>0.2591771918346986</v>
      </c>
      <c r="T27" s="16">
        <f>T26/T9</f>
        <v>0.2590989780225019</v>
      </c>
      <c r="U27" s="16">
        <f>U26/U9</f>
        <v>0.2589693390193996</v>
      </c>
    </row>
    <row r="28">
      <c r="B28" s="13"/>
      <c r="C28" s="13"/>
      <c r="D28" s="13"/>
      <c r="E28" s="13"/>
      <c r="F28" s="12"/>
      <c r="G28" s="13"/>
      <c r="H28" s="13"/>
      <c r="I28" s="13"/>
      <c r="J28" s="13"/>
      <c r="K28" s="12"/>
      <c r="L28" s="13"/>
      <c r="M28" s="13"/>
      <c r="N28" s="13"/>
      <c r="O28" s="13"/>
      <c r="P28" s="12"/>
      <c r="Q28" s="13"/>
      <c r="R28" s="13"/>
      <c r="S28" s="13"/>
      <c r="T28" s="13"/>
      <c r="U28" s="12"/>
    </row>
    <row r="29">
      <c r="A29" s="9" t="inlineStr">
        <is>
          <t xml:space="preserve">Earnings per share — Basic</t>
        </is>
      </c>
      <c r="B29" s="17">
        <f>B26/B31</f>
        <v>2.408875802262394</v>
      </c>
      <c r="C29" s="17">
        <f>C26/C31</f>
        <v>1.6526520263127813</v>
      </c>
      <c r="D29" s="17">
        <f>D26/D31</f>
        <v>1.5724471085667568</v>
      </c>
      <c r="E29" s="17">
        <f>E26/E31</f>
        <v>1.8538934090262185</v>
      </c>
      <c r="F29" s="18">
        <f>F26/F31</f>
        <v>7.493059629612664</v>
      </c>
      <c r="G29" s="17">
        <f>G26/G31</f>
        <v>2.854390358443407</v>
      </c>
      <c r="H29" s="17">
        <f>H26/H31</f>
        <v>2.0157731626157425</v>
      </c>
      <c r="I29" s="17">
        <f>I26/I31</f>
        <v>2.032531142301743</v>
      </c>
      <c r="J29" s="17">
        <f>J26/J31</f>
        <v>1.948034626861771</v>
      </c>
      <c r="K29" s="18">
        <f>K26/K31</f>
        <v>8.856081685898742</v>
      </c>
      <c r="L29" s="17">
        <f>L26/L31</f>
        <v>2.721283238699008</v>
      </c>
      <c r="M29" s="17">
        <f>M26/M31</f>
        <v>2.1285541004566215</v>
      </c>
      <c r="N29" s="17">
        <f>N26/N31</f>
        <v>2.1038434102181163</v>
      </c>
      <c r="O29" s="17">
        <f>O26/O31</f>
        <v>2.1761195036631333</v>
      </c>
      <c r="P29" s="18">
        <f>P26/P31</f>
        <v>9.133137920625442</v>
      </c>
      <c r="Q29" s="17">
        <f>Q26/Q31</f>
        <v>2.9860279892798123</v>
      </c>
      <c r="R29" s="17">
        <f>R26/R31</f>
        <v>2.3469078754049497</v>
      </c>
      <c r="S29" s="17">
        <f>S26/S31</f>
        <v>2.320029548421685</v>
      </c>
      <c r="T29" s="17">
        <f>T26/T31</f>
        <v>2.4006910811755935</v>
      </c>
      <c r="U29" s="18">
        <f>U26/U31</f>
        <v>10.057227958623098</v>
      </c>
    </row>
    <row r="30">
      <c r="A30" s="9" t="inlineStr">
        <is>
          <t xml:space="preserve">Earnings per share — Diluted</t>
        </is>
      </c>
      <c r="B30" s="17">
        <f>B26/B32</f>
        <v>2.397882893154945</v>
      </c>
      <c r="C30" s="17">
        <f>C26/C32</f>
        <v>1.6458409340565736</v>
      </c>
      <c r="D30" s="17">
        <f>D26/D32</f>
        <v>1.5676825919732431</v>
      </c>
      <c r="E30" s="17">
        <f>E26/E32</f>
        <v>1.8478688453120635</v>
      </c>
      <c r="F30" s="18">
        <f>F26/F32</f>
        <v>7.464996043072248</v>
      </c>
      <c r="G30" s="17">
        <f>G26/G32</f>
        <v>2.842402978024296</v>
      </c>
      <c r="H30" s="17">
        <f>H26/H32</f>
        <v>2.0085736173332474</v>
      </c>
      <c r="I30" s="17">
        <f>I26/I32</f>
        <v>2.0244414487957467</v>
      </c>
      <c r="J30" s="17">
        <f>J26/J32</f>
        <v>1.9387202536459016</v>
      </c>
      <c r="K30" s="18">
        <f>K26/K32</f>
        <v>8.819485080990079</v>
      </c>
      <c r="L30" s="17">
        <f>L26/L32</f>
        <v>2.708219884789467</v>
      </c>
      <c r="M30" s="17">
        <f>M26/M32</f>
        <v>2.1184411600908906</v>
      </c>
      <c r="N30" s="17">
        <f>N26/N32</f>
        <v>2.0938077935361217</v>
      </c>
      <c r="O30" s="17">
        <f>O26/O32</f>
        <v>2.1656973307088228</v>
      </c>
      <c r="P30" s="18">
        <f>P26/P32</f>
        <v>9.08950200976401</v>
      </c>
      <c r="Q30" s="17">
        <f>Q26/Q32</f>
        <v>2.9718771841177083</v>
      </c>
      <c r="R30" s="17">
        <f>R26/R32</f>
        <v>2.3357415071200673</v>
      </c>
      <c r="S30" s="17">
        <f>S26/S32</f>
        <v>2.308946864242361</v>
      </c>
      <c r="T30" s="17">
        <f>T26/T32</f>
        <v>2.3893463003575115</v>
      </c>
      <c r="U30" s="18">
        <f>U26/U32</f>
        <v>10.009457271611025</v>
      </c>
    </row>
    <row r="31">
      <c r="A31" t="inlineStr">
        <is>
          <t xml:space="preserve">Weighted-avg shares — Basic (millions)</t>
        </is>
      </c>
      <c r="B31" s="19">
        <v>15081.724</v>
      </c>
      <c r="C31" s="19">
        <v>14994.082</v>
      </c>
      <c r="D31" s="19">
        <v>14902.886</v>
      </c>
      <c r="E31" s="19">
        <v>14815.307</v>
      </c>
      <c r="F31" s="20">
        <f>AVERAGE(B31:E31)</f>
        <v>14948.49975</v>
      </c>
      <c r="G31" s="19">
        <v>14748.158</v>
      </c>
      <c r="H31" s="19">
        <v>14673.278</v>
      </c>
      <c r="I31" s="19">
        <v>14656.11</v>
      </c>
      <c r="J31" s="19">
        <v>14570</v>
      </c>
      <c r="K31" s="20">
        <f>AVERAGE(G31:J31)</f>
        <v>14661.8865</v>
      </c>
      <c r="L31" s="19">
        <v>14512</v>
      </c>
      <c r="M31" s="19">
        <v>14454</v>
      </c>
      <c r="N31" s="19">
        <v>14396</v>
      </c>
      <c r="O31" s="19">
        <v>14338</v>
      </c>
      <c r="P31" s="20">
        <f>AVERAGE(L31:O31)</f>
        <v>14425</v>
      </c>
      <c r="Q31" s="19">
        <v>14281</v>
      </c>
      <c r="R31" s="19">
        <v>14224</v>
      </c>
      <c r="S31" s="19">
        <v>14167</v>
      </c>
      <c r="T31" s="19">
        <v>14111</v>
      </c>
      <c r="U31" s="20">
        <f>AVERAGE(Q31:T31)</f>
        <v>14195.75</v>
      </c>
    </row>
    <row r="32">
      <c r="A32" t="inlineStr">
        <is>
          <t xml:space="preserve">Weighted-avg shares — Diluted (millions)</t>
        </is>
      </c>
      <c r="B32" s="19">
        <v>15150.865</v>
      </c>
      <c r="C32" s="19">
        <v>15056.133</v>
      </c>
      <c r="D32" s="19">
        <v>14948.179</v>
      </c>
      <c r="E32" s="19">
        <v>14863.609</v>
      </c>
      <c r="F32" s="20">
        <f>AVERAGE(B32:E32)</f>
        <v>15004.696499999998</v>
      </c>
      <c r="G32" s="19">
        <v>14810.356</v>
      </c>
      <c r="H32" s="19">
        <v>14725.873</v>
      </c>
      <c r="I32" s="19">
        <v>14714.676</v>
      </c>
      <c r="J32" s="19">
        <v>14640</v>
      </c>
      <c r="K32" s="20">
        <f>AVERAGE(G32:J32)</f>
        <v>14722.72625</v>
      </c>
      <c r="L32" s="19">
        <v>14582</v>
      </c>
      <c r="M32" s="19">
        <v>14523</v>
      </c>
      <c r="N32" s="19">
        <v>14465</v>
      </c>
      <c r="O32" s="19">
        <v>14407</v>
      </c>
      <c r="P32" s="20">
        <f>AVERAGE(L32:O32)</f>
        <v>14494.25</v>
      </c>
      <c r="Q32" s="19">
        <v>14349</v>
      </c>
      <c r="R32" s="19">
        <v>14292</v>
      </c>
      <c r="S32" s="19">
        <v>14235</v>
      </c>
      <c r="T32" s="19">
        <v>14178</v>
      </c>
      <c r="U32" s="20">
        <f>AVERAGE(Q32:T32)</f>
        <v>14263.5</v>
      </c>
    </row>
    <row r="35" ht="13.5" customHeight="1">
      <c r="A35" s="8" t="inlineStr">
        <is>
          <t xml:space="preserve">FORECAST DRIVER ASSUMPTIONS  (blue = input driver; black = historical actual, shown for reference)</t>
        </is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>
      <c r="A36" t="inlineStr">
        <is>
          <t xml:space="preserve">Products revenue growth, YoY %</t>
        </is>
      </c>
      <c r="B36" s="21"/>
      <c r="C36" s="21"/>
      <c r="D36" s="21"/>
      <c r="E36" s="21"/>
      <c r="F36" s="21"/>
      <c r="G36" s="21">
        <f>G7/B7-1</f>
        <v>0.16111678236014693</v>
      </c>
      <c r="H36" s="21">
        <f>H7/C7-1</f>
        <v>0.1672730447943651</v>
      </c>
      <c r="I36" s="21">
        <f>I7/D7-1</f>
        <v>0.18112080224580795</v>
      </c>
      <c r="J36" s="22">
        <v>0.088</v>
      </c>
      <c r="K36" s="21">
        <f>K7/F7-1</f>
        <v>0.14927869760230372</v>
      </c>
      <c r="L36" s="22">
        <v>0.06</v>
      </c>
      <c r="M36" s="22">
        <v>0.06</v>
      </c>
      <c r="N36" s="22">
        <v>0.06</v>
      </c>
      <c r="O36" s="22">
        <v>0.06</v>
      </c>
      <c r="P36" s="21">
        <f>P7/K7-1</f>
        <v>0.05999999999999983</v>
      </c>
      <c r="Q36" s="22">
        <v>0.05</v>
      </c>
      <c r="R36" s="22">
        <v>0.05</v>
      </c>
      <c r="S36" s="22">
        <v>0.05</v>
      </c>
      <c r="T36" s="22">
        <v>0.05</v>
      </c>
      <c r="U36" s="21">
        <f>U7/P7-1</f>
        <v>0.05000000000000005</v>
      </c>
    </row>
    <row r="37">
      <c r="A37" t="inlineStr">
        <is>
          <t xml:space="preserve">Services revenue growth, YoY %</t>
        </is>
      </c>
      <c r="B37" s="21"/>
      <c r="C37" s="21"/>
      <c r="D37" s="21"/>
      <c r="E37" s="21"/>
      <c r="F37" s="21"/>
      <c r="G37" s="21">
        <f>G8/B8-1</f>
        <v>0.1394457099468489</v>
      </c>
      <c r="H37" s="21">
        <f>H8/C8-1</f>
        <v>0.16254456746106216</v>
      </c>
      <c r="I37" s="21">
        <f>I8/D8-1</f>
        <v>0.1209203952886264</v>
      </c>
      <c r="J37" s="22">
        <v>0.13</v>
      </c>
      <c r="K37" s="21">
        <f>K8/F8-1</f>
        <v>0.13794224885029038</v>
      </c>
      <c r="L37" s="22">
        <v>0.14</v>
      </c>
      <c r="M37" s="22">
        <v>0.14</v>
      </c>
      <c r="N37" s="22">
        <v>0.14</v>
      </c>
      <c r="O37" s="22">
        <v>0.14</v>
      </c>
      <c r="P37" s="21">
        <f>P8/K8-1</f>
        <v>0.14000000000000035</v>
      </c>
      <c r="Q37" s="22">
        <v>0.12</v>
      </c>
      <c r="R37" s="22">
        <v>0.12</v>
      </c>
      <c r="S37" s="22">
        <v>0.12</v>
      </c>
      <c r="T37" s="22">
        <v>0.12</v>
      </c>
      <c r="U37" s="21">
        <f>U8/P8-1</f>
        <v>0.11999999999999988</v>
      </c>
    </row>
    <row r="38">
      <c r="A38" t="inlineStr">
        <is>
          <t xml:space="preserve">Gross margin % (assumption)</t>
        </is>
      </c>
      <c r="B38" s="21">
        <f>B14</f>
        <v>0.4688254223652454</v>
      </c>
      <c r="C38" s="21">
        <f>C14</f>
        <v>0.47050619238876246</v>
      </c>
      <c r="D38" s="21">
        <f>D14</f>
        <v>0.4649070568718363</v>
      </c>
      <c r="E38" s="21">
        <f>E14</f>
        <v>0.47177600374758455</v>
      </c>
      <c r="F38" s="21">
        <f>F14</f>
        <v>0.4690516410716045</v>
      </c>
      <c r="G38" s="21">
        <f>G14</f>
        <v>0.4815868555051615</v>
      </c>
      <c r="H38" s="21">
        <f>H14</f>
        <v>0.4927057850050367</v>
      </c>
      <c r="I38" s="21">
        <f>I14</f>
        <v>0.500562069879452</v>
      </c>
      <c r="J38" s="22">
        <v>0.475</v>
      </c>
      <c r="K38" s="21">
        <f>K14</f>
        <v>0.4869745411184498</v>
      </c>
      <c r="L38" s="22">
        <v>0.48</v>
      </c>
      <c r="M38" s="22">
        <v>0.48</v>
      </c>
      <c r="N38" s="22">
        <v>0.48</v>
      </c>
      <c r="O38" s="22">
        <v>0.48</v>
      </c>
      <c r="P38" s="21">
        <f>P14</f>
        <v>0.48</v>
      </c>
      <c r="Q38" s="22">
        <v>0.485</v>
      </c>
      <c r="R38" s="22">
        <v>0.485</v>
      </c>
      <c r="S38" s="22">
        <v>0.485</v>
      </c>
      <c r="T38" s="22">
        <v>0.485</v>
      </c>
      <c r="U38" s="21">
        <f>U14</f>
        <v>0.485</v>
      </c>
    </row>
    <row r="39">
      <c r="A39" t="inlineStr">
        <is>
          <t xml:space="preserve">R&amp;D, % of net sales</t>
        </is>
      </c>
      <c r="B39" s="21">
        <f>B16/B9</f>
        <v>0.06651649235720032</v>
      </c>
      <c r="C39" s="21">
        <f>C16/C9</f>
        <v>0.0896611751381621</v>
      </c>
      <c r="D39" s="21">
        <f>D16/D9</f>
        <v>0.09428304053766642</v>
      </c>
      <c r="E39" s="21">
        <f>E16/E9</f>
        <v>0.08652626236995686</v>
      </c>
      <c r="F39" s="21">
        <f>F16/F9</f>
        <v>0.08302075398703868</v>
      </c>
      <c r="G39" s="21">
        <f>G16/G9</f>
        <v>0.07573249116558613</v>
      </c>
      <c r="H39" s="21">
        <f>H16/H9</f>
        <v>0.10270362642106778</v>
      </c>
      <c r="I39" s="21">
        <f>I16/I9</f>
        <v>0.107195408391749</v>
      </c>
      <c r="J39" s="22">
        <v>0.103</v>
      </c>
      <c r="K39" s="21">
        <f>K16/K9</f>
        <v>0.0956762619206471</v>
      </c>
      <c r="L39" s="22">
        <v>0.105</v>
      </c>
      <c r="M39" s="22">
        <v>0.105</v>
      </c>
      <c r="N39" s="22">
        <v>0.105</v>
      </c>
      <c r="O39" s="22">
        <v>0.105</v>
      </c>
      <c r="P39" s="21">
        <f>P16/P9</f>
        <v>0.105</v>
      </c>
      <c r="Q39" s="22">
        <v>0.107</v>
      </c>
      <c r="R39" s="22">
        <v>0.107</v>
      </c>
      <c r="S39" s="22">
        <v>0.107</v>
      </c>
      <c r="T39" s="22">
        <v>0.107</v>
      </c>
      <c r="U39" s="21">
        <f>U16/U9</f>
        <v>0.107</v>
      </c>
    </row>
    <row r="40">
      <c r="A40" t="inlineStr">
        <is>
          <t xml:space="preserve">SG&amp;A, % of net sales</t>
        </is>
      </c>
      <c r="B40" s="21">
        <f>B17/B9</f>
        <v>0.05772325020112631</v>
      </c>
      <c r="C40" s="21">
        <f>C17/C9</f>
        <v>0.07055443114965551</v>
      </c>
      <c r="D40" s="21">
        <f>D17/D9</f>
        <v>0.070717597515845</v>
      </c>
      <c r="E40" s="21">
        <f>E17/E9</f>
        <v>0.06878379169675795</v>
      </c>
      <c r="F40" s="21">
        <f>F17/F9</f>
        <v>0.06632288945864702</v>
      </c>
      <c r="G40" s="21">
        <f>G17/G9</f>
        <v>0.05211608558947105</v>
      </c>
      <c r="H40" s="21">
        <f>H17/H9</f>
        <v>0.06724888473161605</v>
      </c>
      <c r="I40" s="21">
        <f>I17/I9</f>
        <v>0.06713764771470612</v>
      </c>
      <c r="J40" s="22">
        <v>0.069</v>
      </c>
      <c r="K40" s="21">
        <f>K17/K9</f>
        <v>0.06307683102287581</v>
      </c>
      <c r="L40" s="22">
        <v>0.068</v>
      </c>
      <c r="M40" s="22">
        <v>0.068</v>
      </c>
      <c r="N40" s="22">
        <v>0.068</v>
      </c>
      <c r="O40" s="22">
        <v>0.068</v>
      </c>
      <c r="P40" s="21">
        <f>P17/P9</f>
        <v>0.06800000000000002</v>
      </c>
      <c r="Q40" s="22">
        <v>0.067</v>
      </c>
      <c r="R40" s="22">
        <v>0.067</v>
      </c>
      <c r="S40" s="22">
        <v>0.067</v>
      </c>
      <c r="T40" s="22">
        <v>0.067</v>
      </c>
      <c r="U40" s="21">
        <f>U17/U9</f>
        <v>0.067</v>
      </c>
    </row>
    <row r="41">
      <c r="A41" t="inlineStr">
        <is>
          <t xml:space="preserve">Effective tax rate % (assumption)</t>
        </is>
      </c>
      <c r="B41" s="21">
        <f>B25</f>
        <v>0.14686267142588766</v>
      </c>
      <c r="C41" s="21">
        <f>C25</f>
        <v>0.15455475946775846</v>
      </c>
      <c r="D41" s="21">
        <f>D25</f>
        <v>0.16399700331775535</v>
      </c>
      <c r="E41" s="21">
        <f>E25</f>
        <v>0.16272405804170223</v>
      </c>
      <c r="F41" s="21">
        <f>F25</f>
        <v>0.15610002335586043</v>
      </c>
      <c r="G41" s="21">
        <f>G25</f>
        <v>0.174600996039371</v>
      </c>
      <c r="H41" s="21">
        <f>H25</f>
        <v>0.17455976334663578</v>
      </c>
      <c r="I41" s="21">
        <f>I25</f>
        <v>0.1786196818043952</v>
      </c>
      <c r="J41" s="22">
        <v>0.176</v>
      </c>
      <c r="K41" s="21">
        <f>K25</f>
        <v>0.1758225801806988</v>
      </c>
      <c r="L41" s="22">
        <v>0.175</v>
      </c>
      <c r="M41" s="22">
        <v>0.175</v>
      </c>
      <c r="N41" s="22">
        <v>0.175</v>
      </c>
      <c r="O41" s="22">
        <v>0.175</v>
      </c>
      <c r="P41" s="21">
        <f>P25</f>
        <v>0.175</v>
      </c>
      <c r="Q41" s="22">
        <v>0.175</v>
      </c>
      <c r="R41" s="22">
        <v>0.175</v>
      </c>
      <c r="S41" s="22">
        <v>0.175</v>
      </c>
      <c r="T41" s="22">
        <v>0.175</v>
      </c>
      <c r="U41" s="21">
        <f>U25</f>
        <v>0.17499999999999996</v>
      </c>
    </row>
    <row r="43">
      <c r="A43" s="9" t="inlineStr">
        <is>
          <t xml:space="preserve">Sources &amp; Notes</t>
        </is>
      </c>
    </row>
    <row r="44" ht="19.5" customHeight="1">
      <c r="A44" s="10" t="inlineStr">
        <is>
          <t xml:space="preserve">Actuals FY2025 &amp; FY2026 Q1–Q3 sourced from Apple 8-K/10-Q condensed statements of operations (SEC EDGAR), tie exactly to reported quarterly and YTD totals.</t>
        </is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30.01" customHeight="1">
      <c r="A45" s="10" t="inlineStr">
        <is>
          <t xml:space="preserve">Q4 FY2026 (E): modeled off Apple's Q3 FY26 earnings-call guidance (revenue +9–11% YoY, gross margin 47–48% incl. tariff-refund benefit, opex $19.1–19.4B). FY2027E/FY2028E: modeled projections using the driver assumptions below — not company guidance or third-party consensus.</t>
        </is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</sheetData>
  <mergeCells count="5">
    <mergeCell ref="A1:U1"/>
    <mergeCell ref="A2:U2"/>
    <mergeCell ref="A35:U35"/>
    <mergeCell ref="A44:U44"/>
    <mergeCell ref="A45:U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2026-08-18T01:42:34Z</dcterms:created>
  <dcterms:modified xsi:type="dcterms:W3CDTF">2026-08-18T01:42:34Z</dcterms:modified>
</cp:coreProperties>
</file>