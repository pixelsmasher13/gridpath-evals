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ncome Statement" sheetId="1" r:id="rId1"/>
    <sheet name="Assumptions" sheetId="2" r:id="rId2"/>
    <sheet name="Historical Data" sheetId="3" r:id="rId3"/>
    <sheet name="Notes &amp; Sources" sheetId="4" r:id="rId4"/>
  </sheets>
  <calcPr calcId="124519" fullCalcOnLoad="1"/>
</workbook>
</file>

<file path=xl/sharedStrings.xml><?xml version="1.0" encoding="utf-8"?>
<sst xmlns="http://schemas.openxmlformats.org/spreadsheetml/2006/main" count="211" uniqueCount="119">
  <si>
    <t>Apple Inc. — Historical Actuals</t>
  </si>
  <si>
    <t>$ in millions, except per-share amounts; share counts in millions. Source: SEC Form 8-K Exhibit 99.1 (Condensed Consolidated Statements of Operations) for each fiscal quarter; cross-checked to the FY2025 Form 10-K.</t>
  </si>
  <si>
    <t>Fiscal Period</t>
  </si>
  <si>
    <t>FY2024</t>
  </si>
  <si>
    <t>Oct 2023 - Sep 2024</t>
  </si>
  <si>
    <t>Actual</t>
  </si>
  <si>
    <t>Q1 FY25</t>
  </si>
  <si>
    <t>Oct-Dec 2024</t>
  </si>
  <si>
    <t>Q2 FY25</t>
  </si>
  <si>
    <t>Jan-Mar 2025</t>
  </si>
  <si>
    <t>Q3 FY25</t>
  </si>
  <si>
    <t>Apr-Jun 2025</t>
  </si>
  <si>
    <t>Q4 FY25</t>
  </si>
  <si>
    <t>Jul-Sep 2025</t>
  </si>
  <si>
    <t>Q1 FY26</t>
  </si>
  <si>
    <t>Oct-Dec 2025</t>
  </si>
  <si>
    <t>Q2 FY26</t>
  </si>
  <si>
    <t>Jan-Mar 2026</t>
  </si>
  <si>
    <t>Q3 FY26</t>
  </si>
  <si>
    <t>Apr-Jun 2026</t>
  </si>
  <si>
    <t>Reported line items</t>
  </si>
  <si>
    <t>iPhone</t>
  </si>
  <si>
    <t>Mac</t>
  </si>
  <si>
    <t>iPad</t>
  </si>
  <si>
    <t>Wearables, Home and Accessories</t>
  </si>
  <si>
    <t>Services</t>
  </si>
  <si>
    <t>Cost of Sales — Products</t>
  </si>
  <si>
    <t>Cost of Sales — Services</t>
  </si>
  <si>
    <t>Research and Development</t>
  </si>
  <si>
    <t>Selling, General and Administrative</t>
  </si>
  <si>
    <t>Other Income/(Expense), net</t>
  </si>
  <si>
    <t>Provision for Income Taxes</t>
  </si>
  <si>
    <t>Weighted-Avg Shares Outstanding — Basic</t>
  </si>
  <si>
    <t>Weighted-Avg Shares Outstanding — Diluted</t>
  </si>
  <si>
    <t>Apple Inc. — Forecast Assumptions</t>
  </si>
  <si>
    <t>All forecast formulas in the Income Statement tab reference these cells — change a value here to flow it through the entire model.</t>
  </si>
  <si>
    <t>Q4 FY26 is grounded in management guidance from the FY26 Q3 earnings call (Jul 30, 2026): total revenue +9% to +11% YoY, gross margin 47%-48%, iPhone mid-teens YoY growth, Services growth similar to the June quarter. FY27-FY28 are illustrative model extrapolations (iPhone growth normalizing off the FY26 upgrade supercycle, continued Services strength, gradual margin expansion, stable opex ratios, ~17.7% effective tax rate, continued buybacks) and are NOT official Apple guidance.</t>
  </si>
  <si>
    <t>Q4 FY26</t>
  </si>
  <si>
    <t>Jul-Sep 2026</t>
  </si>
  <si>
    <t>Forecast</t>
  </si>
  <si>
    <t>Q1 FY27</t>
  </si>
  <si>
    <t>Oct-Dec 2026</t>
  </si>
  <si>
    <t>Q2 FY27</t>
  </si>
  <si>
    <t>Jan-Mar 2027</t>
  </si>
  <si>
    <t>Q3 FY27</t>
  </si>
  <si>
    <t>Apr-Jun 2027</t>
  </si>
  <si>
    <t>Q4 FY27</t>
  </si>
  <si>
    <t>Jul-Sep 2027</t>
  </si>
  <si>
    <t>Q1 FY28</t>
  </si>
  <si>
    <t>Oct-Dec 2027</t>
  </si>
  <si>
    <t>Q2 FY28</t>
  </si>
  <si>
    <t>Jan-Mar 2028</t>
  </si>
  <si>
    <t>Q3 FY28</t>
  </si>
  <si>
    <t>Apr-Jun 2028</t>
  </si>
  <si>
    <t>Q4 FY28</t>
  </si>
  <si>
    <t>Jul-Sep 2028</t>
  </si>
  <si>
    <t>Revenue growth (YoY, applied to same fiscal quarter prior year)</t>
  </si>
  <si>
    <t>Margins</t>
  </si>
  <si>
    <t>Operating expenses &amp; other (as % of Total Net Sales, except tax)</t>
  </si>
  <si>
    <t>Capital allocation</t>
  </si>
  <si>
    <t>iPhone revenue YoY growth %</t>
  </si>
  <si>
    <t>Mac revenue YoY growth %</t>
  </si>
  <si>
    <t>iPad revenue YoY growth %</t>
  </si>
  <si>
    <t>Wearables, Home &amp; Accessories YoY growth %</t>
  </si>
  <si>
    <t>Services revenue YoY growth %</t>
  </si>
  <si>
    <t>Products gross margin %</t>
  </si>
  <si>
    <t>Services gross margin %</t>
  </si>
  <si>
    <t>R&amp;D as % of Net Sales</t>
  </si>
  <si>
    <t>SG&amp;A as % of Net Sales</t>
  </si>
  <si>
    <t>Effective tax rate %</t>
  </si>
  <si>
    <t>Other income/(expense) as % of Net Sales</t>
  </si>
  <si>
    <t>Diluted/basic share count, QoQ % change (buybacks)</t>
  </si>
  <si>
    <t>Apple Inc. (AAPL) — Income Statement: Actuals &amp; Forecast, FY2026-FY2028</t>
  </si>
  <si>
    <t>$ in millions, except per-share amounts; share counts in millions. Apple’s fiscal year ends the last Saturday of September. Q1-Q3 FY2026 are reported actuals (filed 10-Q/8-K); Q4 FY2026 onward are forecast. See the Assumptions and Notes tabs for methodology and sources.</t>
  </si>
  <si>
    <t xml:space="preserve"> FY2025</t>
  </si>
  <si>
    <t>Full Fiscal Year</t>
  </si>
  <si>
    <t xml:space="preserve"> FY2026</t>
  </si>
  <si>
    <t>Actual + Fcst</t>
  </si>
  <si>
    <t xml:space="preserve"> FY2027</t>
  </si>
  <si>
    <t xml:space="preserve"> FY2028</t>
  </si>
  <si>
    <t>Net Sales</t>
  </si>
  <si>
    <t>Total Products</t>
  </si>
  <si>
    <t>Total Net Sales</t>
  </si>
  <si>
    <t>YoY % Growth — Total Net Sales</t>
  </si>
  <si>
    <t>n/a</t>
  </si>
  <si>
    <t>Cost of Sales</t>
  </si>
  <si>
    <t>Total Cost of Sales</t>
  </si>
  <si>
    <t>Gross Margin</t>
  </si>
  <si>
    <t>Gross Margin ($)</t>
  </si>
  <si>
    <t>Gross Margin % of Net Sales</t>
  </si>
  <si>
    <t>memo: Products Gross Margin %</t>
  </si>
  <si>
    <t>memo: Services Gross Margin %</t>
  </si>
  <si>
    <t>Operating Expenses</t>
  </si>
  <si>
    <t>Total Operating Expenses</t>
  </si>
  <si>
    <t>memo: R&amp;D % of Net Sales</t>
  </si>
  <si>
    <t>memo: SG&amp;A % of Net Sales</t>
  </si>
  <si>
    <t>Operating Income</t>
  </si>
  <si>
    <t>Operating Margin %</t>
  </si>
  <si>
    <t>Non-Operating Items &amp; Net Income</t>
  </si>
  <si>
    <t>Income Before Provision for Income Taxes</t>
  </si>
  <si>
    <t>Effective Tax Rate %</t>
  </si>
  <si>
    <t>Net Income</t>
  </si>
  <si>
    <t>Net Margin %</t>
  </si>
  <si>
    <t>Per Share Data</t>
  </si>
  <si>
    <t>Earnings Per Share — Basic</t>
  </si>
  <si>
    <t>Earnings Per Share — Diluted</t>
  </si>
  <si>
    <t>Apple Inc. (AAPL) — Income Statement Forecast: Methodology &amp; Sources</t>
  </si>
  <si>
    <t>Scope</t>
  </si>
  <si>
    <t>Quarterly and annual GAAP income statement, fiscal years 2026-2028 (Apple's fiscal year ends the last Saturday of September). As of this model's build date, Apple had reported actual results through fiscal Q3 2026 (quarter ended June 27, 2026); Q4 FY2026 through Q4 FY2028 are forecast.</t>
  </si>
  <si>
    <t>Structure</t>
  </si>
  <si>
    <t>- "Historical Data": raw reported actuals (blue font = hardcoded source data), FY2024 annual and FY2025 Q1-Q4 / FY2026 Q1-Q3 quarterly.
- "Assumptions": editable forecast drivers (blue font) for every forecast quarter (Q4 FY26 - Q4 FY28). Change any cell here and the entire model recalculates.
- "Income Statement": the full model. Historical columns pull from Historical Data; forecast columns are built up from the Assumptions drivers; annual columns SUM (or AVERAGE, for share counts) the four fiscal quarters. Every cell is a live formula.</t>
  </si>
  <si>
    <t>Forecast methodology</t>
  </si>
  <si>
    <t>- Revenue is built bottom-up by product/service category (iPhone, Mac, iPad, Wearables/Home/Accessories, Services), matching Apple's reported disclosure. Each forecast quarter grows off the SAME FISCAL QUARTER one year prior by an assumed YoY growth rate, which captures seasonality (e.g. the December quarter is always Apple's largest) without needing separate seasonal indices.
- Cost of sales is derived from assumed Products and Services gross margin percentages applied to their respective forecast revenue.
- R&amp;D and SG&amp;A are forecast as a percentage of Total Net Sales, calibrated to each quarter's recent seasonal pattern (opex ratios are structurally higher in the seasonally smaller March/June quarters).
- Other Income/(Expense) is forecast as a small percentage of revenue, consistent with its recent small and mixed-sign contribution.
- Tax is Income Before Taxes multiplied by an assumed effective tax rate.
- Basic and diluted share counts roll forward sequentially (each quarter vs. the immediately prior quarter, not the prior year) at an assumed rate reflecting continued buybacks.</t>
  </si>
  <si>
    <t>Key assumptions and why</t>
  </si>
  <si>
    <t>- Q4 FY2026 is grounded in management's guidance from the FY26 Q3 earnings call (July 30, 2026): total revenue growth of +9% to +11% YoY, gross margin of 47%-48% (including a ~1pt tariff-refund benefit), iPhone growth in the mid-teens YoY, and Services growth similar to the June quarter's pace, against a backdrop of intensifying supply constraints on iPhone, Mac and iPad.
- FY2027-FY2028 have NO official company guidance. They are modeled extrapolations: iPhone growth normalizing from the FY2026 "supercycle" (iPhone 17 demand, tariff-refund tailwinds) toward a more typical mid-single-digit pace; Services continuing as Apple's structural growth engine at low-double-digit growth; gradual gross-margin expansion in both Products and Services; a stable ~17.7% effective tax rate consistent with the step-up observed through FY2026 (vs. ~15.6% in FY2025); and continued share buybacks (Apple authorized an incremental $100B repurchase program in fiscal Q2 2026).
- These are reasonable, internally consistent planning assumptions — not a Wall Street consensus estimate or Apple guidance. Treat the FY2027-FY2028 columns as illustrative and revisit the Assumptions tab as new information (guidance, macro, category trends) becomes available.</t>
  </si>
  <si>
    <t>Primary sources</t>
  </si>
  <si>
    <t>- Apple Inc. Form 8-K, Exhibit 99.1 (Condensed Consolidated Statements of Operations), each fiscal quarter FY2025 Q1 through FY2026 Q3, filed with the SEC (sec.gov/cgi-bin/browse-edgar?action=getcompany&amp;CIK=0000320193).
- Apple Inc. Form 10-K for fiscal year ended September 27, 2025.
- Apple FY2026 Q3 earnings call and press release (apple.com/newsroom), July 30, 2026, for Q4 FY2026 guidance.</t>
  </si>
  <si>
    <t>Caveats</t>
  </si>
  <si>
    <t>This is a planning model, not investment advice. Actual results will differ from forecast columns; sensitivity to FX, tariffs, supply constraints, new product timing, and macro demand is material. All $ figures are in millions except per-share amounts; share counts are in millions.</t>
  </si>
</sst>
</file>

<file path=xl/styles.xml><?xml version="1.0" encoding="utf-8"?>
<styleSheet xmlns="http://schemas.openxmlformats.org/spreadsheetml/2006/main">
  <numFmts count="4">
    <numFmt numFmtId="164" formatCode="#,##0;(#,##0)"/>
    <numFmt numFmtId="165" formatCode="0.0%;(0.0%)"/>
    <numFmt numFmtId="166" formatCode="$0.00"/>
    <numFmt numFmtId="167" formatCode="#,##0.0"/>
  </numFmts>
  <fonts count="17">
    <font>
      <sz val="11"/>
      <color theme="1"/>
      <name val="Calibri"/>
      <family val="2"/>
      <scheme val="minor"/>
    </font>
    <font>
      <b/>
      <sz val="14"/>
      <color rgb="FF1F3864"/>
      <name val="Calibri"/>
      <family val="2"/>
      <scheme val="minor"/>
    </font>
    <font>
      <i/>
      <sz val="9"/>
      <color rgb="FF595959"/>
      <name val="Calibri"/>
      <family val="2"/>
      <scheme val="minor"/>
    </font>
    <font>
      <b/>
      <sz val="10"/>
      <color theme="1"/>
      <name val="Calibri"/>
      <family val="2"/>
      <scheme val="minor"/>
    </font>
    <font>
      <b/>
      <sz val="9"/>
      <color rgb="FFFFFFFF"/>
      <name val="Calibri"/>
      <family val="2"/>
      <scheme val="minor"/>
    </font>
    <font>
      <b/>
      <sz val="9"/>
      <color theme="1"/>
      <name val="Calibri"/>
      <family val="2"/>
      <scheme val="minor"/>
    </font>
    <font>
      <i/>
      <sz val="8"/>
      <color rgb="FF595959"/>
      <name val="Calibri"/>
      <family val="2"/>
      <scheme val="minor"/>
    </font>
    <font>
      <i/>
      <sz val="8"/>
      <color rgb="FF375623"/>
      <name val="Calibri"/>
      <family val="2"/>
      <scheme val="minor"/>
    </font>
    <font>
      <i/>
      <sz val="8"/>
      <color rgb="FF833C00"/>
      <name val="Calibri"/>
      <family val="2"/>
      <scheme val="minor"/>
    </font>
    <font>
      <i/>
      <sz val="8"/>
      <color rgb="FF7F6000"/>
      <name val="Calibri"/>
      <family val="2"/>
      <scheme val="minor"/>
    </font>
    <font>
      <b/>
      <sz val="10"/>
      <color rgb="FFFFFFFF"/>
      <name val="Calibri"/>
      <family val="2"/>
      <scheme val="minor"/>
    </font>
    <font>
      <sz val="10"/>
      <color theme="1"/>
      <name val="Calibri"/>
      <family val="2"/>
      <scheme val="minor"/>
    </font>
    <font>
      <sz val="9"/>
      <color rgb="FFA6A6A6"/>
      <name val="Calibri"/>
      <family val="2"/>
      <scheme val="minor"/>
    </font>
    <font>
      <sz val="9"/>
      <color rgb="FF595959"/>
      <name val="Calibri"/>
      <family val="2"/>
      <scheme val="minor"/>
    </font>
    <font>
      <sz val="9"/>
      <color rgb="FF0000FF"/>
      <name val="Calibri"/>
      <family val="2"/>
      <scheme val="minor"/>
    </font>
    <font>
      <sz val="10"/>
      <color rgb="FF0000FF"/>
      <name val="Calibri"/>
      <family val="2"/>
      <scheme val="minor"/>
    </font>
    <font>
      <b/>
      <sz val="11"/>
      <color rgb="FF1F3864"/>
      <name val="Calibri"/>
      <family val="2"/>
      <scheme val="minor"/>
    </font>
  </fonts>
  <fills count="7">
    <fill>
      <patternFill patternType="none"/>
    </fill>
    <fill>
      <patternFill patternType="gray125"/>
    </fill>
    <fill>
      <patternFill patternType="solid">
        <fgColor rgb="FF8EA9DB"/>
        <bgColor indexed="64"/>
      </patternFill>
    </fill>
    <fill>
      <patternFill patternType="solid">
        <fgColor rgb="FFD9E1F2"/>
        <bgColor indexed="64"/>
      </patternFill>
    </fill>
    <fill>
      <patternFill patternType="solid">
        <fgColor rgb="FFFCE4D6"/>
        <bgColor indexed="64"/>
      </patternFill>
    </fill>
    <fill>
      <patternFill patternType="solid">
        <fgColor rgb="FF1F3864"/>
        <bgColor indexed="64"/>
      </patternFill>
    </fill>
    <fill>
      <patternFill patternType="solid">
        <fgColor rgb="FFF2F2F2"/>
        <bgColor indexed="64"/>
      </patternFill>
    </fill>
  </fills>
  <borders count="3">
    <border>
      <left/>
      <right/>
      <top/>
      <bottom/>
      <diagonal/>
    </border>
    <border>
      <left/>
      <right/>
      <top style="thin">
        <color auto="1"/>
      </top>
      <bottom/>
      <diagonal/>
    </border>
    <border>
      <left style="thin">
        <color auto="1"/>
      </left>
      <right style="thin">
        <color auto="1"/>
      </right>
      <top style="thin">
        <color auto="1"/>
      </top>
      <bottom style="thin">
        <color auto="1"/>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0" borderId="1" xfId="0" applyFont="1" applyBorder="1"/>
    <xf numFmtId="0" fontId="4" fillId="2" borderId="2" xfId="0" applyFont="1" applyFill="1" applyBorder="1" applyAlignment="1">
      <alignment horizontal="center"/>
    </xf>
    <xf numFmtId="0" fontId="5" fillId="3" borderId="2" xfId="0" applyFont="1" applyFill="1" applyBorder="1" applyAlignment="1">
      <alignment horizontal="center"/>
    </xf>
    <xf numFmtId="0" fontId="5" fillId="4" borderId="2" xfId="0" applyFont="1" applyFill="1" applyBorder="1" applyAlignment="1">
      <alignment horizontal="center"/>
    </xf>
    <xf numFmtId="0" fontId="6" fillId="0" borderId="2" xfId="0" applyFont="1" applyBorder="1" applyAlignment="1">
      <alignment horizontal="center"/>
    </xf>
    <xf numFmtId="0" fontId="7" fillId="0" borderId="2" xfId="0" applyFont="1" applyBorder="1" applyAlignment="1">
      <alignment horizontal="center"/>
    </xf>
    <xf numFmtId="0" fontId="8" fillId="0" borderId="2" xfId="0" applyFont="1" applyBorder="1" applyAlignment="1">
      <alignment horizontal="center"/>
    </xf>
    <xf numFmtId="0" fontId="9" fillId="0" borderId="2" xfId="0" applyFont="1" applyBorder="1" applyAlignment="1">
      <alignment horizontal="center"/>
    </xf>
    <xf numFmtId="0" fontId="10" fillId="5" borderId="0" xfId="0" applyFont="1" applyFill="1"/>
    <xf numFmtId="0" fontId="11" fillId="0" borderId="0" xfId="0" applyFont="1" applyAlignment="1">
      <alignment horizontal="left" indent="1"/>
    </xf>
    <xf numFmtId="164" fontId="11" fillId="6" borderId="0" xfId="0" applyNumberFormat="1" applyFont="1" applyFill="1"/>
    <xf numFmtId="164" fontId="11" fillId="0" borderId="0" xfId="0" applyNumberFormat="1" applyFont="1"/>
    <xf numFmtId="164" fontId="3" fillId="6" borderId="1" xfId="0" applyNumberFormat="1" applyFont="1" applyFill="1" applyBorder="1"/>
    <xf numFmtId="164" fontId="3" fillId="0" borderId="1" xfId="0" applyNumberFormat="1" applyFont="1" applyBorder="1"/>
    <xf numFmtId="0" fontId="2" fillId="0" borderId="0" xfId="0" applyFont="1" applyAlignment="1">
      <alignment horizontal="left" indent="2"/>
    </xf>
    <xf numFmtId="0" fontId="12" fillId="0" borderId="0" xfId="0" applyFont="1" applyAlignment="1">
      <alignment horizontal="center"/>
    </xf>
    <xf numFmtId="165" fontId="13" fillId="6" borderId="0" xfId="0" applyNumberFormat="1" applyFont="1" applyFill="1"/>
    <xf numFmtId="165" fontId="13" fillId="0" borderId="0" xfId="0" applyNumberFormat="1" applyFont="1"/>
    <xf numFmtId="166" fontId="11" fillId="6" borderId="0" xfId="0" applyNumberFormat="1" applyFont="1" applyFill="1"/>
    <xf numFmtId="166" fontId="11" fillId="0" borderId="0" xfId="0" applyNumberFormat="1" applyFont="1"/>
    <xf numFmtId="166" fontId="3" fillId="6" borderId="1" xfId="0" applyNumberFormat="1" applyFont="1" applyFill="1" applyBorder="1"/>
    <xf numFmtId="166" fontId="3" fillId="0" borderId="1" xfId="0" applyNumberFormat="1" applyFont="1" applyBorder="1"/>
    <xf numFmtId="167" fontId="11" fillId="6" borderId="0" xfId="0" applyNumberFormat="1" applyFont="1" applyFill="1"/>
    <xf numFmtId="167" fontId="11" fillId="0" borderId="0" xfId="0" applyNumberFormat="1" applyFont="1"/>
    <xf numFmtId="165" fontId="14" fillId="0" borderId="0" xfId="0" applyNumberFormat="1" applyFont="1"/>
    <xf numFmtId="164" fontId="15" fillId="0" borderId="0" xfId="0" applyNumberFormat="1" applyFont="1"/>
    <xf numFmtId="167" fontId="15" fillId="0" borderId="0" xfId="0" applyNumberFormat="1" applyFont="1"/>
    <xf numFmtId="0" fontId="16" fillId="0" borderId="0" xfId="0" applyFont="1"/>
    <xf numFmtId="0" fontId="11"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V51"/>
  <sheetViews>
    <sheetView showGridLines="0" tabSelected="1"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0.7109375" customWidth="1"/>
    <col min="2" max="6" width="11.28515625" customWidth="1"/>
    <col min="7" max="7" width="12.7109375" customWidth="1"/>
    <col min="8" max="11" width="11.28515625" customWidth="1"/>
    <col min="12" max="12" width="12.7109375" customWidth="1"/>
    <col min="13" max="16" width="11.28515625" customWidth="1"/>
    <col min="17" max="17" width="12.7109375" customWidth="1"/>
    <col min="18" max="21" width="11.28515625" customWidth="1"/>
    <col min="22" max="22" width="12.7109375" customWidth="1"/>
  </cols>
  <sheetData>
    <row r="1" spans="1:22">
      <c r="A1" s="1" t="s">
        <v>72</v>
      </c>
      <c r="B1" s="1"/>
      <c r="C1" s="1"/>
      <c r="D1" s="1"/>
      <c r="E1" s="1"/>
      <c r="F1" s="1"/>
      <c r="G1" s="1"/>
      <c r="H1" s="1"/>
      <c r="I1" s="1"/>
      <c r="J1" s="1"/>
      <c r="K1" s="1"/>
      <c r="L1" s="1"/>
      <c r="M1" s="1"/>
      <c r="N1" s="1"/>
      <c r="O1" s="1"/>
      <c r="P1" s="1"/>
      <c r="Q1" s="1"/>
      <c r="R1" s="1"/>
      <c r="S1" s="1"/>
      <c r="T1" s="1"/>
      <c r="U1" s="1"/>
      <c r="V1" s="1"/>
    </row>
    <row r="2" spans="1:22">
      <c r="A2" s="2" t="s">
        <v>73</v>
      </c>
      <c r="B2" s="2"/>
      <c r="C2" s="2"/>
      <c r="D2" s="2"/>
      <c r="E2" s="2"/>
      <c r="F2" s="2"/>
      <c r="G2" s="2"/>
      <c r="H2" s="2"/>
      <c r="I2" s="2"/>
      <c r="J2" s="2"/>
      <c r="K2" s="2"/>
      <c r="L2" s="2"/>
      <c r="M2" s="2"/>
      <c r="N2" s="2"/>
      <c r="O2" s="2"/>
      <c r="P2" s="2"/>
      <c r="Q2" s="2"/>
      <c r="R2" s="2"/>
      <c r="S2" s="2"/>
      <c r="T2" s="2"/>
      <c r="U2" s="2"/>
      <c r="V2" s="2"/>
    </row>
    <row r="4" spans="1:22">
      <c r="A4" s="3" t="s">
        <v>2</v>
      </c>
      <c r="B4" s="4" t="s">
        <v>3</v>
      </c>
      <c r="C4" s="5" t="s">
        <v>6</v>
      </c>
      <c r="D4" s="5" t="s">
        <v>8</v>
      </c>
      <c r="E4" s="5" t="s">
        <v>10</v>
      </c>
      <c r="F4" s="5" t="s">
        <v>12</v>
      </c>
      <c r="G4" s="4" t="s">
        <v>74</v>
      </c>
      <c r="H4" s="5" t="s">
        <v>14</v>
      </c>
      <c r="I4" s="5" t="s">
        <v>16</v>
      </c>
      <c r="J4" s="5" t="s">
        <v>18</v>
      </c>
      <c r="K4" s="6" t="s">
        <v>37</v>
      </c>
      <c r="L4" s="4" t="s">
        <v>76</v>
      </c>
      <c r="M4" s="6" t="s">
        <v>40</v>
      </c>
      <c r="N4" s="6" t="s">
        <v>42</v>
      </c>
      <c r="O4" s="6" t="s">
        <v>44</v>
      </c>
      <c r="P4" s="6" t="s">
        <v>46</v>
      </c>
      <c r="Q4" s="4" t="s">
        <v>78</v>
      </c>
      <c r="R4" s="6" t="s">
        <v>48</v>
      </c>
      <c r="S4" s="6" t="s">
        <v>50</v>
      </c>
      <c r="T4" s="6" t="s">
        <v>52</v>
      </c>
      <c r="U4" s="6" t="s">
        <v>54</v>
      </c>
      <c r="V4" s="4" t="s">
        <v>79</v>
      </c>
    </row>
    <row r="5" spans="1:22">
      <c r="B5" s="7" t="s">
        <v>4</v>
      </c>
      <c r="C5" s="7" t="s">
        <v>7</v>
      </c>
      <c r="D5" s="7" t="s">
        <v>9</v>
      </c>
      <c r="E5" s="7" t="s">
        <v>11</v>
      </c>
      <c r="F5" s="7" t="s">
        <v>13</v>
      </c>
      <c r="G5" s="7" t="s">
        <v>75</v>
      </c>
      <c r="H5" s="7" t="s">
        <v>15</v>
      </c>
      <c r="I5" s="7" t="s">
        <v>17</v>
      </c>
      <c r="J5" s="7" t="s">
        <v>19</v>
      </c>
      <c r="K5" s="7" t="s">
        <v>38</v>
      </c>
      <c r="L5" s="7" t="s">
        <v>75</v>
      </c>
      <c r="M5" s="7" t="s">
        <v>41</v>
      </c>
      <c r="N5" s="7" t="s">
        <v>43</v>
      </c>
      <c r="O5" s="7" t="s">
        <v>45</v>
      </c>
      <c r="P5" s="7" t="s">
        <v>47</v>
      </c>
      <c r="Q5" s="7" t="s">
        <v>75</v>
      </c>
      <c r="R5" s="7" t="s">
        <v>49</v>
      </c>
      <c r="S5" s="7" t="s">
        <v>51</v>
      </c>
      <c r="T5" s="7" t="s">
        <v>53</v>
      </c>
      <c r="U5" s="7" t="s">
        <v>55</v>
      </c>
      <c r="V5" s="7" t="s">
        <v>75</v>
      </c>
    </row>
    <row r="6" spans="1:22">
      <c r="B6" s="8" t="s">
        <v>5</v>
      </c>
      <c r="C6" s="8" t="s">
        <v>5</v>
      </c>
      <c r="D6" s="8" t="s">
        <v>5</v>
      </c>
      <c r="E6" s="8" t="s">
        <v>5</v>
      </c>
      <c r="F6" s="8" t="s">
        <v>5</v>
      </c>
      <c r="G6" s="8" t="s">
        <v>5</v>
      </c>
      <c r="H6" s="8" t="s">
        <v>5</v>
      </c>
      <c r="I6" s="8" t="s">
        <v>5</v>
      </c>
      <c r="J6" s="8" t="s">
        <v>5</v>
      </c>
      <c r="K6" s="9" t="s">
        <v>39</v>
      </c>
      <c r="L6" s="10" t="s">
        <v>77</v>
      </c>
      <c r="M6" s="9" t="s">
        <v>39</v>
      </c>
      <c r="N6" s="9" t="s">
        <v>39</v>
      </c>
      <c r="O6" s="9" t="s">
        <v>39</v>
      </c>
      <c r="P6" s="9" t="s">
        <v>39</v>
      </c>
      <c r="Q6" s="9" t="s">
        <v>39</v>
      </c>
      <c r="R6" s="9" t="s">
        <v>39</v>
      </c>
      <c r="S6" s="9" t="s">
        <v>39</v>
      </c>
      <c r="T6" s="9" t="s">
        <v>39</v>
      </c>
      <c r="U6" s="9" t="s">
        <v>39</v>
      </c>
      <c r="V6" s="9" t="s">
        <v>39</v>
      </c>
    </row>
    <row r="8" spans="1:22">
      <c r="A8" s="11" t="s">
        <v>80</v>
      </c>
      <c r="B8" s="11"/>
      <c r="C8" s="11"/>
      <c r="D8" s="11"/>
      <c r="E8" s="11"/>
      <c r="F8" s="11"/>
      <c r="G8" s="11"/>
      <c r="H8" s="11"/>
      <c r="I8" s="11"/>
      <c r="J8" s="11"/>
      <c r="K8" s="11"/>
      <c r="L8" s="11"/>
      <c r="M8" s="11"/>
      <c r="N8" s="11"/>
      <c r="O8" s="11"/>
      <c r="P8" s="11"/>
      <c r="Q8" s="11"/>
      <c r="R8" s="11"/>
      <c r="S8" s="11"/>
      <c r="T8" s="11"/>
      <c r="U8" s="11"/>
      <c r="V8" s="11"/>
    </row>
    <row r="9" spans="1:22">
      <c r="A9" s="12" t="s">
        <v>21</v>
      </c>
      <c r="B9" s="13">
        <f>'Historical Data'!B8</f>
        <v>201183</v>
      </c>
      <c r="C9" s="14">
        <f>'Historical Data'!C8</f>
        <v>69138</v>
      </c>
      <c r="D9" s="14">
        <f>'Historical Data'!D8</f>
        <v>46841</v>
      </c>
      <c r="E9" s="14">
        <f>'Historical Data'!E8</f>
        <v>44582</v>
      </c>
      <c r="F9" s="14">
        <f>'Historical Data'!F8</f>
        <v>49025</v>
      </c>
      <c r="G9" s="13">
        <f>SUM(C9,D9,E9,F9)</f>
        <v>209586</v>
      </c>
      <c r="H9" s="14">
        <f>'Historical Data'!G8</f>
        <v>85269</v>
      </c>
      <c r="I9" s="14">
        <f>'Historical Data'!H8</f>
        <v>56994</v>
      </c>
      <c r="J9" s="14">
        <f>'Historical Data'!I8</f>
        <v>54252</v>
      </c>
      <c r="K9" s="14">
        <f>F9*(1+Assumptions!B9)</f>
        <v>56378.74999999999</v>
      </c>
      <c r="L9" s="13">
        <f>SUM(H9,I9,J9,K9)</f>
        <v>252893.75</v>
      </c>
      <c r="M9" s="14">
        <f>H9*(1+Assumptions!C9)</f>
        <v>92090.52</v>
      </c>
      <c r="N9" s="14">
        <f>I9*(1+Assumptions!D9)</f>
        <v>60983.58</v>
      </c>
      <c r="O9" s="14">
        <f>J9*(1+Assumptions!E9)</f>
        <v>57507.12</v>
      </c>
      <c r="P9" s="14">
        <f>K9*(1+Assumptions!F9)</f>
        <v>59761.475</v>
      </c>
      <c r="Q9" s="13">
        <f>SUM(M9,N9,O9,P9)</f>
        <v>270342.695</v>
      </c>
      <c r="R9" s="14">
        <f>M9*(1+Assumptions!G9)</f>
        <v>96695.046</v>
      </c>
      <c r="S9" s="14">
        <f>N9*(1+Assumptions!H9)</f>
        <v>64032.759000000005</v>
      </c>
      <c r="T9" s="14">
        <f>O9*(1+Assumptions!I9)</f>
        <v>60382.476</v>
      </c>
      <c r="U9" s="14">
        <f>P9*(1+Assumptions!J9)</f>
        <v>62749.54875</v>
      </c>
      <c r="V9" s="13">
        <f>SUM(R9,S9,T9,U9)</f>
        <v>283859.82975000003</v>
      </c>
    </row>
    <row r="10" spans="1:22">
      <c r="A10" s="12" t="s">
        <v>22</v>
      </c>
      <c r="B10" s="13">
        <f>'Historical Data'!B9</f>
        <v>29984</v>
      </c>
      <c r="C10" s="14">
        <f>'Historical Data'!C9</f>
        <v>8987</v>
      </c>
      <c r="D10" s="14">
        <f>'Historical Data'!D9</f>
        <v>7949</v>
      </c>
      <c r="E10" s="14">
        <f>'Historical Data'!E9</f>
        <v>8046</v>
      </c>
      <c r="F10" s="14">
        <f>'Historical Data'!F9</f>
        <v>8726</v>
      </c>
      <c r="G10" s="13">
        <f>SUM(C10,D10,E10,F10)</f>
        <v>33708</v>
      </c>
      <c r="H10" s="14">
        <f>'Historical Data'!G9</f>
        <v>8386</v>
      </c>
      <c r="I10" s="14">
        <f>'Historical Data'!H9</f>
        <v>8399</v>
      </c>
      <c r="J10" s="14">
        <f>'Historical Data'!I9</f>
        <v>10352</v>
      </c>
      <c r="K10" s="14">
        <f>F10*(1+Assumptions!B10)</f>
        <v>9162.300000000001</v>
      </c>
      <c r="L10" s="13">
        <f>SUM(H10,I10,J10,K10)</f>
        <v>36299.3</v>
      </c>
      <c r="M10" s="14">
        <f>H10*(1+Assumptions!C10)</f>
        <v>8805.300000000001</v>
      </c>
      <c r="N10" s="14">
        <f>I10*(1+Assumptions!D10)</f>
        <v>8818.95</v>
      </c>
      <c r="O10" s="14">
        <f>J10*(1+Assumptions!E10)</f>
        <v>10869.6</v>
      </c>
      <c r="P10" s="14">
        <f>K10*(1+Assumptions!F10)</f>
        <v>9620.415</v>
      </c>
      <c r="Q10" s="13">
        <f>SUM(M10,N10,O10,P10)</f>
        <v>38114.265</v>
      </c>
      <c r="R10" s="14">
        <f>M10*(1+Assumptions!G10)</f>
        <v>9157.512</v>
      </c>
      <c r="S10" s="14">
        <f>N10*(1+Assumptions!H10)</f>
        <v>9171.708</v>
      </c>
      <c r="T10" s="14">
        <f>O10*(1+Assumptions!I10)</f>
        <v>11304.384</v>
      </c>
      <c r="U10" s="14">
        <f>P10*(1+Assumptions!J10)</f>
        <v>10005.231600000001</v>
      </c>
      <c r="V10" s="13">
        <f>SUM(R10,S10,T10,U10)</f>
        <v>39638.835600000006</v>
      </c>
    </row>
    <row r="11" spans="1:22">
      <c r="A11" s="12" t="s">
        <v>23</v>
      </c>
      <c r="B11" s="13">
        <f>'Historical Data'!B10</f>
        <v>26694</v>
      </c>
      <c r="C11" s="14">
        <f>'Historical Data'!C10</f>
        <v>8088</v>
      </c>
      <c r="D11" s="14">
        <f>'Historical Data'!D10</f>
        <v>6402</v>
      </c>
      <c r="E11" s="14">
        <f>'Historical Data'!E10</f>
        <v>6581</v>
      </c>
      <c r="F11" s="14">
        <f>'Historical Data'!F10</f>
        <v>6952</v>
      </c>
      <c r="G11" s="13">
        <f>SUM(C11,D11,E11,F11)</f>
        <v>28023</v>
      </c>
      <c r="H11" s="14">
        <f>'Historical Data'!G10</f>
        <v>8595</v>
      </c>
      <c r="I11" s="14">
        <f>'Historical Data'!H10</f>
        <v>6914</v>
      </c>
      <c r="J11" s="14">
        <f>'Historical Data'!I10</f>
        <v>6191</v>
      </c>
      <c r="K11" s="14">
        <f>F11*(1+Assumptions!B11)</f>
        <v>6395.84</v>
      </c>
      <c r="L11" s="13">
        <f>SUM(H11,I11,J11,K11)</f>
        <v>28095.84</v>
      </c>
      <c r="M11" s="14">
        <f>H11*(1+Assumptions!C11)</f>
        <v>8766.9</v>
      </c>
      <c r="N11" s="14">
        <f>I11*(1+Assumptions!D11)</f>
        <v>7121.42</v>
      </c>
      <c r="O11" s="14">
        <f>J11*(1+Assumptions!E11)</f>
        <v>6376.7300000000005</v>
      </c>
      <c r="P11" s="14">
        <f>K11*(1+Assumptions!F11)</f>
        <v>6587.715200000001</v>
      </c>
      <c r="Q11" s="13">
        <f>SUM(M11,N11,O11,P11)</f>
        <v>28852.7652</v>
      </c>
      <c r="R11" s="14">
        <f>M11*(1+Assumptions!G11)</f>
        <v>9029.907</v>
      </c>
      <c r="S11" s="14">
        <f>N11*(1+Assumptions!H11)</f>
        <v>7335.0626</v>
      </c>
      <c r="T11" s="14">
        <f>O11*(1+Assumptions!I11)</f>
        <v>6568.031900000001</v>
      </c>
      <c r="U11" s="14">
        <f>P11*(1+Assumptions!J11)</f>
        <v>6785.346656000001</v>
      </c>
      <c r="V11" s="13">
        <f>SUM(R11,S11,T11,U11)</f>
        <v>29718.348156</v>
      </c>
    </row>
    <row r="12" spans="1:22">
      <c r="A12" s="12" t="s">
        <v>24</v>
      </c>
      <c r="B12" s="13">
        <f>'Historical Data'!B11</f>
        <v>37005</v>
      </c>
      <c r="C12" s="14">
        <f>'Historical Data'!C11</f>
        <v>11747</v>
      </c>
      <c r="D12" s="14">
        <f>'Historical Data'!D11</f>
        <v>7522</v>
      </c>
      <c r="E12" s="14">
        <f>'Historical Data'!E11</f>
        <v>7404</v>
      </c>
      <c r="F12" s="14">
        <f>'Historical Data'!F11</f>
        <v>9013</v>
      </c>
      <c r="G12" s="13">
        <f>SUM(C12,D12,E12,F12)</f>
        <v>35686</v>
      </c>
      <c r="H12" s="14">
        <f>'Historical Data'!G11</f>
        <v>11493</v>
      </c>
      <c r="I12" s="14">
        <f>'Historical Data'!H11</f>
        <v>7901</v>
      </c>
      <c r="J12" s="14">
        <f>'Historical Data'!I11</f>
        <v>7883</v>
      </c>
      <c r="K12" s="14">
        <f>F12*(1+Assumptions!B12)</f>
        <v>9373.52</v>
      </c>
      <c r="L12" s="13">
        <f>SUM(H12,I12,J12,K12)</f>
        <v>36650.520000000004</v>
      </c>
      <c r="M12" s="14">
        <f>H12*(1+Assumptions!C12)</f>
        <v>11952.720000000001</v>
      </c>
      <c r="N12" s="14">
        <f>I12*(1+Assumptions!D12)</f>
        <v>8217.04</v>
      </c>
      <c r="O12" s="14">
        <f>J12*(1+Assumptions!E12)</f>
        <v>8198.32</v>
      </c>
      <c r="P12" s="14">
        <f>K12*(1+Assumptions!F12)</f>
        <v>9748.4608</v>
      </c>
      <c r="Q12" s="13">
        <f>SUM(M12,N12,O12,P12)</f>
        <v>38116.5408</v>
      </c>
      <c r="R12" s="14">
        <f>M12*(1+Assumptions!G12)</f>
        <v>12311.3016</v>
      </c>
      <c r="S12" s="14">
        <f>N12*(1+Assumptions!H12)</f>
        <v>8463.551200000002</v>
      </c>
      <c r="T12" s="14">
        <f>O12*(1+Assumptions!I12)</f>
        <v>8444.2696</v>
      </c>
      <c r="U12" s="14">
        <f>P12*(1+Assumptions!J12)</f>
        <v>10040.914624000001</v>
      </c>
      <c r="V12" s="13">
        <f>SUM(R12,S12,T12,U12)</f>
        <v>39260.037024000005</v>
      </c>
    </row>
    <row r="13" spans="1:22">
      <c r="A13" s="3" t="s">
        <v>81</v>
      </c>
      <c r="B13" s="15">
        <f>B9+B10+B11+B12</f>
        <v>294866</v>
      </c>
      <c r="C13" s="16">
        <f>C9+C10+C11+C12</f>
        <v>97960</v>
      </c>
      <c r="D13" s="16">
        <f>D9+D10+D11+D12</f>
        <v>68714</v>
      </c>
      <c r="E13" s="16">
        <f>E9+E10+E11+E12</f>
        <v>66613</v>
      </c>
      <c r="F13" s="16">
        <f>F9+F10+F11+F12</f>
        <v>73716</v>
      </c>
      <c r="G13" s="15">
        <f>G9+G10+G11+G12</f>
        <v>307003</v>
      </c>
      <c r="H13" s="16">
        <f>H9+H10+H11+H12</f>
        <v>113743</v>
      </c>
      <c r="I13" s="16">
        <f>I9+I10+I11+I12</f>
        <v>80208</v>
      </c>
      <c r="J13" s="16">
        <f>J9+J10+J11+J12</f>
        <v>78678</v>
      </c>
      <c r="K13" s="16">
        <f>K9+K10+K11+K12</f>
        <v>81310.40999999999</v>
      </c>
      <c r="L13" s="15">
        <f>L9+L10+L11+L12</f>
        <v>353939.41000000003</v>
      </c>
      <c r="M13" s="16">
        <f>M9+M10+M11+M12</f>
        <v>121615.44</v>
      </c>
      <c r="N13" s="16">
        <f>N9+N10+N11+N12</f>
        <v>85140.98999999999</v>
      </c>
      <c r="O13" s="16">
        <f>O9+O10+O11+O12</f>
        <v>82951.76999999999</v>
      </c>
      <c r="P13" s="16">
        <f>P9+P10+P11+P12</f>
        <v>85718.066</v>
      </c>
      <c r="Q13" s="15">
        <f>Q9+Q10+Q11+Q12</f>
        <v>375426.26600000006</v>
      </c>
      <c r="R13" s="16">
        <f>R9+R10+R11+R12</f>
        <v>127193.7666</v>
      </c>
      <c r="S13" s="16">
        <f>S9+S10+S11+S12</f>
        <v>89003.08080000001</v>
      </c>
      <c r="T13" s="16">
        <f>T9+T10+T11+T12</f>
        <v>86699.1615</v>
      </c>
      <c r="U13" s="16">
        <f>U9+U10+U11+U12</f>
        <v>89581.04162999999</v>
      </c>
      <c r="V13" s="15">
        <f>V9+V10+V11+V12</f>
        <v>392477.05053000007</v>
      </c>
    </row>
    <row r="14" spans="1:22">
      <c r="A14" s="12" t="s">
        <v>25</v>
      </c>
      <c r="B14" s="13">
        <f>'Historical Data'!B12</f>
        <v>96169</v>
      </c>
      <c r="C14" s="14">
        <f>'Historical Data'!C12</f>
        <v>26340</v>
      </c>
      <c r="D14" s="14">
        <f>'Historical Data'!D12</f>
        <v>26645</v>
      </c>
      <c r="E14" s="14">
        <f>'Historical Data'!E12</f>
        <v>27423</v>
      </c>
      <c r="F14" s="14">
        <f>'Historical Data'!F12</f>
        <v>28750</v>
      </c>
      <c r="G14" s="13">
        <f>SUM(C14,D14,E14,F14)</f>
        <v>109158</v>
      </c>
      <c r="H14" s="14">
        <f>'Historical Data'!G12</f>
        <v>30013</v>
      </c>
      <c r="I14" s="14">
        <f>'Historical Data'!H12</f>
        <v>30976</v>
      </c>
      <c r="J14" s="14">
        <f>'Historical Data'!I12</f>
        <v>30739</v>
      </c>
      <c r="K14" s="14">
        <f>F14*(1+Assumptions!B13)</f>
        <v>32200.000000000004</v>
      </c>
      <c r="L14" s="13">
        <f>SUM(H14,I14,J14,K14)</f>
        <v>123928.0</v>
      </c>
      <c r="M14" s="14">
        <f>H14*(1+Assumptions!C13)</f>
        <v>33914.689999999995</v>
      </c>
      <c r="N14" s="14">
        <f>I14*(1+Assumptions!D13)</f>
        <v>34693.12</v>
      </c>
      <c r="O14" s="14">
        <f>J14*(1+Assumptions!E13)</f>
        <v>34427.68</v>
      </c>
      <c r="P14" s="14">
        <f>K14*(1+Assumptions!F13)</f>
        <v>36064.00000000001</v>
      </c>
      <c r="Q14" s="13">
        <f>SUM(M14,N14,O14,P14)</f>
        <v>139099.49</v>
      </c>
      <c r="R14" s="14">
        <f>M14*(1+Assumptions!G13)</f>
        <v>37645.3059</v>
      </c>
      <c r="S14" s="14">
        <f>N14*(1+Assumptions!H13)</f>
        <v>38509.36320000001</v>
      </c>
      <c r="T14" s="14">
        <f>O14*(1+Assumptions!I13)</f>
        <v>38214.7248</v>
      </c>
      <c r="U14" s="14">
        <f>P14*(1+Assumptions!J13)</f>
        <v>40031.04000000001</v>
      </c>
      <c r="V14" s="13">
        <f>SUM(R14,S14,T14,U14)</f>
        <v>154400.4339</v>
      </c>
    </row>
    <row r="15" spans="1:22">
      <c r="A15" s="3" t="s">
        <v>82</v>
      </c>
      <c r="B15" s="15">
        <f>B13+B14</f>
        <v>391035</v>
      </c>
      <c r="C15" s="16">
        <f>C13+C14</f>
        <v>124300</v>
      </c>
      <c r="D15" s="16">
        <f>D13+D14</f>
        <v>95359</v>
      </c>
      <c r="E15" s="16">
        <f>E13+E14</f>
        <v>94036</v>
      </c>
      <c r="F15" s="16">
        <f>F13+F14</f>
        <v>102466</v>
      </c>
      <c r="G15" s="15">
        <f>G13+G14</f>
        <v>416161</v>
      </c>
      <c r="H15" s="16">
        <f>H13+H14</f>
        <v>143756</v>
      </c>
      <c r="I15" s="16">
        <f>I13+I14</f>
        <v>111184</v>
      </c>
      <c r="J15" s="16">
        <f>J13+J14</f>
        <v>109417</v>
      </c>
      <c r="K15" s="16">
        <f>K13+K14</f>
        <v>113510.40999999999</v>
      </c>
      <c r="L15" s="15">
        <f>L13+L14</f>
        <v>477867.41000000003</v>
      </c>
      <c r="M15" s="16">
        <f>M13+M14</f>
        <v>155530.13</v>
      </c>
      <c r="N15" s="16">
        <f>N13+N14</f>
        <v>119834.10999999999</v>
      </c>
      <c r="O15" s="16">
        <f>O13+O14</f>
        <v>117379.44999999998</v>
      </c>
      <c r="P15" s="16">
        <f>P13+P14</f>
        <v>121782.06600000002</v>
      </c>
      <c r="Q15" s="15">
        <f>Q13+Q14</f>
        <v>514525.75600000005</v>
      </c>
      <c r="R15" s="16">
        <f>R13+R14</f>
        <v>164839.0725</v>
      </c>
      <c r="S15" s="16">
        <f>S13+S14</f>
        <v>127512.44400000002</v>
      </c>
      <c r="T15" s="16">
        <f>T13+T14</f>
        <v>124913.88630000001</v>
      </c>
      <c r="U15" s="16">
        <f>U13+U14</f>
        <v>129612.08163</v>
      </c>
      <c r="V15" s="15">
        <f>V13+V14</f>
        <v>546877.4844300001</v>
      </c>
    </row>
    <row r="16" spans="1:22">
      <c r="A16" s="17" t="s">
        <v>83</v>
      </c>
      <c r="B16" s="18" t="s">
        <v>84</v>
      </c>
      <c r="C16" s="18" t="s">
        <v>84</v>
      </c>
      <c r="D16" s="18" t="s">
        <v>84</v>
      </c>
      <c r="E16" s="18" t="s">
        <v>84</v>
      </c>
      <c r="F16" s="18" t="s">
        <v>84</v>
      </c>
      <c r="G16" s="19">
        <f>G15/B15-1</f>
        <v>0.06425511782832749</v>
      </c>
      <c r="H16" s="20">
        <f>H15/C15-1</f>
        <v>0.15652453740949324</v>
      </c>
      <c r="I16" s="20">
        <f>I15/D15-1</f>
        <v>0.16595182415922993</v>
      </c>
      <c r="J16" s="20">
        <f>J15/E15-1</f>
        <v>0.16356501765281384</v>
      </c>
      <c r="K16" s="20">
        <f>K15/F15-1</f>
        <v>0.10778609489977153</v>
      </c>
      <c r="L16" s="19">
        <f>L15/G15-1</f>
        <v>0.14827533094163092</v>
      </c>
      <c r="M16" s="20">
        <f>M15/H15-1</f>
        <v>0.08190357272044291</v>
      </c>
      <c r="N16" s="20">
        <f>N15/I15-1</f>
        <v>0.07779995323068056</v>
      </c>
      <c r="O16" s="20">
        <f>O15/J15-1</f>
        <v>0.0727715985632944</v>
      </c>
      <c r="P16" s="20">
        <f>P15/K15-1</f>
        <v>0.07287134281340402</v>
      </c>
      <c r="Q16" s="19">
        <f>Q15/L15-1</f>
        <v>0.07671237927692132</v>
      </c>
      <c r="R16" s="20">
        <f>R15/M15-1</f>
        <v>0.0598529847560727</v>
      </c>
      <c r="S16" s="20">
        <f>S15/N15-1</f>
        <v>0.06407469459238313</v>
      </c>
      <c r="T16" s="20">
        <f>T15/O15-1</f>
        <v>0.06418871701988738</v>
      </c>
      <c r="U16" s="20">
        <f>U15/P15-1</f>
        <v>0.06429530954089735</v>
      </c>
      <c r="V16" s="19">
        <f>V15/Q15-1</f>
        <v>0.06287679101141053</v>
      </c>
    </row>
    <row r="18" spans="1:22">
      <c r="A18" s="11" t="s">
        <v>85</v>
      </c>
      <c r="B18" s="11"/>
      <c r="C18" s="11"/>
      <c r="D18" s="11"/>
      <c r="E18" s="11"/>
      <c r="F18" s="11"/>
      <c r="G18" s="11"/>
      <c r="H18" s="11"/>
      <c r="I18" s="11"/>
      <c r="J18" s="11"/>
      <c r="K18" s="11"/>
      <c r="L18" s="11"/>
      <c r="M18" s="11"/>
      <c r="N18" s="11"/>
      <c r="O18" s="11"/>
      <c r="P18" s="11"/>
      <c r="Q18" s="11"/>
      <c r="R18" s="11"/>
      <c r="S18" s="11"/>
      <c r="T18" s="11"/>
      <c r="U18" s="11"/>
      <c r="V18" s="11"/>
    </row>
    <row r="19" spans="1:22">
      <c r="A19" s="12" t="s">
        <v>26</v>
      </c>
      <c r="B19" s="13">
        <f>'Historical Data'!B13</f>
        <v>185233</v>
      </c>
      <c r="C19" s="14">
        <f>'Historical Data'!C13</f>
        <v>59447</v>
      </c>
      <c r="D19" s="14">
        <f>'Historical Data'!D13</f>
        <v>44030</v>
      </c>
      <c r="E19" s="14">
        <f>'Historical Data'!E13</f>
        <v>43620</v>
      </c>
      <c r="F19" s="14">
        <f>'Historical Data'!F13</f>
        <v>47019</v>
      </c>
      <c r="G19" s="13">
        <f>SUM(C19,D19,E19,F19)</f>
        <v>194116</v>
      </c>
      <c r="H19" s="14">
        <f>'Historical Data'!G13</f>
        <v>67478</v>
      </c>
      <c r="I19" s="14">
        <f>'Historical Data'!H13</f>
        <v>49179</v>
      </c>
      <c r="J19" s="14">
        <f>'Historical Data'!I13</f>
        <v>47153</v>
      </c>
      <c r="K19" s="14">
        <f>K13*(1-Assumptions!B15)</f>
        <v>51632.110349999995</v>
      </c>
      <c r="L19" s="13">
        <f>SUM(H19,I19,J19,K19)</f>
        <v>215442.11035</v>
      </c>
      <c r="M19" s="14">
        <f>M13*(1-Assumptions!C15)</f>
        <v>76617.72720000001</v>
      </c>
      <c r="N19" s="14">
        <f>N13*(1-Assumptions!D15)</f>
        <v>53638.82369999999</v>
      </c>
      <c r="O19" s="14">
        <f>O13*(1-Assumptions!E15)</f>
        <v>51844.85625</v>
      </c>
      <c r="P19" s="14">
        <f>P13*(1-Assumptions!F15)</f>
        <v>53573.79125</v>
      </c>
      <c r="Q19" s="13">
        <f>SUM(M19,N19,O19,P19)</f>
        <v>235675.1984</v>
      </c>
      <c r="R19" s="14">
        <f>R13*(1-Assumptions!G15)</f>
        <v>78860.135292</v>
      </c>
      <c r="S19" s="14">
        <f>S13*(1-Assumptions!H15)</f>
        <v>55181.91009600001</v>
      </c>
      <c r="T19" s="14">
        <f>T13*(1-Assumptions!I15)</f>
        <v>53319.9843225</v>
      </c>
      <c r="U19" s="14">
        <f>U13*(1-Assumptions!J15)</f>
        <v>55092.34060244999</v>
      </c>
      <c r="V19" s="13">
        <f>SUM(R19,S19,T19,U19)</f>
        <v>242454.37031295</v>
      </c>
    </row>
    <row r="20" spans="1:22">
      <c r="A20" s="12" t="s">
        <v>27</v>
      </c>
      <c r="B20" s="13">
        <f>'Historical Data'!B14</f>
        <v>25119</v>
      </c>
      <c r="C20" s="14">
        <f>'Historical Data'!C14</f>
        <v>6578</v>
      </c>
      <c r="D20" s="14">
        <f>'Historical Data'!D14</f>
        <v>6462</v>
      </c>
      <c r="E20" s="14">
        <f>'Historical Data'!E14</f>
        <v>6698</v>
      </c>
      <c r="F20" s="14">
        <f>'Historical Data'!F14</f>
        <v>7106</v>
      </c>
      <c r="G20" s="13">
        <f>SUM(C20,D20,E20,F20)</f>
        <v>26844</v>
      </c>
      <c r="H20" s="14">
        <f>'Historical Data'!G14</f>
        <v>7047</v>
      </c>
      <c r="I20" s="14">
        <f>'Historical Data'!H14</f>
        <v>7224</v>
      </c>
      <c r="J20" s="14">
        <f>'Historical Data'!I14</f>
        <v>7494</v>
      </c>
      <c r="K20" s="14">
        <f>K14*(1-Assumptions!B16)</f>
        <v>7889.000000000001</v>
      </c>
      <c r="L20" s="13">
        <f>SUM(H20,I20,J20,K20)</f>
        <v>29654.0</v>
      </c>
      <c r="M20" s="14">
        <f>M14*(1-Assumptions!C16)</f>
        <v>8139.525599999998</v>
      </c>
      <c r="N20" s="14">
        <f>N14*(1-Assumptions!D16)</f>
        <v>8326.3488</v>
      </c>
      <c r="O20" s="14">
        <f>O14*(1-Assumptions!E16)</f>
        <v>8090.5048</v>
      </c>
      <c r="P20" s="14">
        <f>P14*(1-Assumptions!F16)</f>
        <v>8475.04</v>
      </c>
      <c r="Q20" s="13">
        <f>SUM(M20,N20,O20,P20)</f>
        <v>33031.4192</v>
      </c>
      <c r="R20" s="14">
        <f>R14*(1-Assumptions!G16)</f>
        <v>8658.420356999999</v>
      </c>
      <c r="S20" s="14">
        <f>S14*(1-Assumptions!H16)</f>
        <v>8857.153536000002</v>
      </c>
      <c r="T20" s="14">
        <f>T14*(1-Assumptions!I16)</f>
        <v>8598.31308</v>
      </c>
      <c r="U20" s="14">
        <f>U14*(1-Assumptions!J16)</f>
        <v>9006.984</v>
      </c>
      <c r="V20" s="13">
        <f>SUM(R20,S20,T20,U20)</f>
        <v>35120.870973</v>
      </c>
    </row>
    <row r="21" spans="1:22">
      <c r="A21" s="3" t="s">
        <v>86</v>
      </c>
      <c r="B21" s="15">
        <f>B19+B20</f>
        <v>210352</v>
      </c>
      <c r="C21" s="16">
        <f>C19+C20</f>
        <v>66025</v>
      </c>
      <c r="D21" s="16">
        <f>D19+D20</f>
        <v>50492</v>
      </c>
      <c r="E21" s="16">
        <f>E19+E20</f>
        <v>50318</v>
      </c>
      <c r="F21" s="16">
        <f>F19+F20</f>
        <v>54125</v>
      </c>
      <c r="G21" s="15">
        <f>G19+G20</f>
        <v>220960</v>
      </c>
      <c r="H21" s="16">
        <f>H19+H20</f>
        <v>74525</v>
      </c>
      <c r="I21" s="16">
        <f>I19+I20</f>
        <v>56403</v>
      </c>
      <c r="J21" s="16">
        <f>J19+J20</f>
        <v>54647</v>
      </c>
      <c r="K21" s="16">
        <f>K19+K20</f>
        <v>59521.110349999995</v>
      </c>
      <c r="L21" s="15">
        <f>L19+L20</f>
        <v>245096.11035</v>
      </c>
      <c r="M21" s="16">
        <f>M19+M20</f>
        <v>84757.2528</v>
      </c>
      <c r="N21" s="16">
        <f>N19+N20</f>
        <v>61965.17249999999</v>
      </c>
      <c r="O21" s="16">
        <f>O19+O20</f>
        <v>59935.36105</v>
      </c>
      <c r="P21" s="16">
        <f>P19+P20</f>
        <v>62048.83125</v>
      </c>
      <c r="Q21" s="15">
        <f>Q19+Q20</f>
        <v>268706.6176</v>
      </c>
      <c r="R21" s="16">
        <f>R19+R20</f>
        <v>87518.555649</v>
      </c>
      <c r="S21" s="16">
        <f>S19+S20</f>
        <v>64039.063632000005</v>
      </c>
      <c r="T21" s="16">
        <f>T19+T20</f>
        <v>61918.2974025</v>
      </c>
      <c r="U21" s="16">
        <f>U19+U20</f>
        <v>64099.32460245</v>
      </c>
      <c r="V21" s="15">
        <f>V19+V20</f>
        <v>277575.24128595</v>
      </c>
    </row>
    <row r="23" spans="1:22">
      <c r="A23" s="11" t="s">
        <v>87</v>
      </c>
      <c r="B23" s="11"/>
      <c r="C23" s="11"/>
      <c r="D23" s="11"/>
      <c r="E23" s="11"/>
      <c r="F23" s="11"/>
      <c r="G23" s="11"/>
      <c r="H23" s="11"/>
      <c r="I23" s="11"/>
      <c r="J23" s="11"/>
      <c r="K23" s="11"/>
      <c r="L23" s="11"/>
      <c r="M23" s="11"/>
      <c r="N23" s="11"/>
      <c r="O23" s="11"/>
      <c r="P23" s="11"/>
      <c r="Q23" s="11"/>
      <c r="R23" s="11"/>
      <c r="S23" s="11"/>
      <c r="T23" s="11"/>
      <c r="U23" s="11"/>
      <c r="V23" s="11"/>
    </row>
    <row r="24" spans="1:22">
      <c r="A24" s="3" t="s">
        <v>88</v>
      </c>
      <c r="B24" s="15">
        <f>B15-B21</f>
        <v>180683</v>
      </c>
      <c r="C24" s="16">
        <f>C15-C21</f>
        <v>58275</v>
      </c>
      <c r="D24" s="16">
        <f>D15-D21</f>
        <v>44867</v>
      </c>
      <c r="E24" s="16">
        <f>E15-E21</f>
        <v>43718</v>
      </c>
      <c r="F24" s="16">
        <f>F15-F21</f>
        <v>48341</v>
      </c>
      <c r="G24" s="15">
        <f>G15-G21</f>
        <v>195201</v>
      </c>
      <c r="H24" s="16">
        <f>H15-H21</f>
        <v>69231</v>
      </c>
      <c r="I24" s="16">
        <f>I15-I21</f>
        <v>54781</v>
      </c>
      <c r="J24" s="16">
        <f>J15-J21</f>
        <v>54770</v>
      </c>
      <c r="K24" s="16">
        <f>K15-K21</f>
        <v>53989.29964999999</v>
      </c>
      <c r="L24" s="15">
        <f>L15-L21</f>
        <v>232771.29965000003</v>
      </c>
      <c r="M24" s="16">
        <f>M15-M21</f>
        <v>70772.8772</v>
      </c>
      <c r="N24" s="16">
        <f>N15-N21</f>
        <v>57868.93749999999</v>
      </c>
      <c r="O24" s="16">
        <f>O15-O21</f>
        <v>57444.08894999998</v>
      </c>
      <c r="P24" s="16">
        <f>P15-P21</f>
        <v>59733.23475000002</v>
      </c>
      <c r="Q24" s="15">
        <f>Q15-Q21</f>
        <v>245819.13840000005</v>
      </c>
      <c r="R24" s="16">
        <f>R15-R21</f>
        <v>77320.51685100001</v>
      </c>
      <c r="S24" s="16">
        <f>S15-S21</f>
        <v>63473.38036800001</v>
      </c>
      <c r="T24" s="16">
        <f>T15-T21</f>
        <v>62995.58889750001</v>
      </c>
      <c r="U24" s="16">
        <f>U15-U21</f>
        <v>65512.757027550004</v>
      </c>
      <c r="V24" s="15">
        <f>V15-V21</f>
        <v>269302.24314405007</v>
      </c>
    </row>
    <row r="25" spans="1:22">
      <c r="A25" s="17" t="s">
        <v>89</v>
      </c>
      <c r="B25" s="19">
        <f>B24/B15</f>
        <v>0.4620634981523393</v>
      </c>
      <c r="C25" s="20">
        <f>C24/C15</f>
        <v>0.4688254223652454</v>
      </c>
      <c r="D25" s="20">
        <f>D24/D15</f>
        <v>0.47050619238876246</v>
      </c>
      <c r="E25" s="20">
        <f>E24/E15</f>
        <v>0.4649070568718363</v>
      </c>
      <c r="F25" s="20">
        <f>F24/F15</f>
        <v>0.47177600374758455</v>
      </c>
      <c r="G25" s="19">
        <f>G24/G15</f>
        <v>0.4690516410716045</v>
      </c>
      <c r="H25" s="20">
        <f>H24/H15</f>
        <v>0.4815868555051615</v>
      </c>
      <c r="I25" s="20">
        <f>I24/I15</f>
        <v>0.4927057850050367</v>
      </c>
      <c r="J25" s="20">
        <f>J24/J15</f>
        <v>0.500562069879452</v>
      </c>
      <c r="K25" s="20">
        <f>K24/K15</f>
        <v>0.4756330247595793</v>
      </c>
      <c r="L25" s="19">
        <f>L24/L15</f>
        <v>0.48710436154246217</v>
      </c>
      <c r="M25" s="20">
        <f>M24/M15</f>
        <v>0.4550428730433132</v>
      </c>
      <c r="N25" s="20">
        <f>N24/N15</f>
        <v>0.4829087269058868</v>
      </c>
      <c r="O25" s="20">
        <f>O24/O15</f>
        <v>0.4893879546206767</v>
      </c>
      <c r="P25" s="20">
        <f>P24/P15</f>
        <v>0.4904928673980618</v>
      </c>
      <c r="Q25" s="19">
        <f>Q24/Q15</f>
        <v>0.47775866520470167</v>
      </c>
      <c r="R25" s="20">
        <f>R24/R15</f>
        <v>0.46906668230009607</v>
      </c>
      <c r="S25" s="20">
        <f>S24/S15</f>
        <v>0.4977818507501903</v>
      </c>
      <c r="T25" s="20">
        <f>T24/T15</f>
        <v>0.5043121366523363</v>
      </c>
      <c r="U25" s="20">
        <f>U24/U15</f>
        <v>0.5054525488956149</v>
      </c>
      <c r="V25" s="19">
        <f>V24/V15</f>
        <v>0.4924361503467978</v>
      </c>
    </row>
    <row r="26" spans="1:22">
      <c r="A26" s="17" t="s">
        <v>90</v>
      </c>
      <c r="B26" s="19">
        <f>(B13-B19)/B13</f>
        <v>0.37180617636485724</v>
      </c>
      <c r="C26" s="20">
        <f>(C13-C19)/C13</f>
        <v>0.39315026541445486</v>
      </c>
      <c r="D26" s="20">
        <f>(D13-D19)/D13</f>
        <v>0.35922810489856505</v>
      </c>
      <c r="E26" s="20">
        <f>(E13-E19)/E13</f>
        <v>0.3451728641556453</v>
      </c>
      <c r="F26" s="20">
        <f>(F13-F19)/F13</f>
        <v>0.36216018232134134</v>
      </c>
      <c r="G26" s="19">
        <f>(G13-G19)/G13</f>
        <v>0.3677065044966987</v>
      </c>
      <c r="H26" s="20">
        <f>(H13-H19)/H13</f>
        <v>0.4067503055133063</v>
      </c>
      <c r="I26" s="20">
        <f>(I13-I19)/I13</f>
        <v>0.3868566726511071</v>
      </c>
      <c r="J26" s="20">
        <f>(J13-J19)/J13</f>
        <v>0.40068379979155544</v>
      </c>
      <c r="K26" s="20">
        <f>(K13-K19)/K13</f>
        <v>0.365</v>
      </c>
      <c r="L26" s="19">
        <f>(L13-L19)/L13</f>
        <v>0.3913022843373108</v>
      </c>
      <c r="M26" s="20">
        <f>(M13-M19)/M13</f>
        <v>0.36999999999999994</v>
      </c>
      <c r="N26" s="20">
        <f>(N13-N19)/N13</f>
        <v>0.37</v>
      </c>
      <c r="O26" s="20">
        <f>(O13-O19)/O13</f>
        <v>0.37499999999999994</v>
      </c>
      <c r="P26" s="20">
        <f>(P13-P19)/P13</f>
        <v>0.375</v>
      </c>
      <c r="Q26" s="19">
        <f>(Q13-Q19)/Q13</f>
        <v>0.3722463776682051</v>
      </c>
      <c r="R26" s="20">
        <f>(R13-R19)/R13</f>
        <v>0.37999999999999995</v>
      </c>
      <c r="S26" s="20">
        <f>(S13-S19)/S13</f>
        <v>0.38</v>
      </c>
      <c r="T26" s="20">
        <f>(T13-T19)/T13</f>
        <v>0.385</v>
      </c>
      <c r="U26" s="20">
        <f>(U13-U19)/U13</f>
        <v>0.385</v>
      </c>
      <c r="V26" s="19">
        <f>(V13-V19)/V13</f>
        <v>0.38224573899151504</v>
      </c>
    </row>
    <row r="27" spans="1:22">
      <c r="A27" s="17" t="s">
        <v>91</v>
      </c>
      <c r="B27" s="19">
        <f>(B14-B20)/B14</f>
        <v>0.7388035645582256</v>
      </c>
      <c r="C27" s="20">
        <f>(C14-C20)/C14</f>
        <v>0.7502657555049355</v>
      </c>
      <c r="D27" s="20">
        <f>(D14-D20)/D14</f>
        <v>0.7574779508350534</v>
      </c>
      <c r="E27" s="20">
        <f>(E14-E20)/E14</f>
        <v>0.7557524705539146</v>
      </c>
      <c r="F27" s="20">
        <f>(F14-F20)/F14</f>
        <v>0.7528347826086956</v>
      </c>
      <c r="G27" s="19">
        <f>(G14-G20)/G14</f>
        <v>0.754081240037377</v>
      </c>
      <c r="H27" s="20">
        <f>(H14-H20)/H14</f>
        <v>0.7652017459101056</v>
      </c>
      <c r="I27" s="20">
        <f>(I14-I20)/I14</f>
        <v>0.7667871900826446</v>
      </c>
      <c r="J27" s="20">
        <f>(J14-J20)/J14</f>
        <v>0.7562054718761183</v>
      </c>
      <c r="K27" s="20">
        <f>(K14-K20)/K14</f>
        <v>0.755</v>
      </c>
      <c r="L27" s="19">
        <f>(L14-L20)/L14</f>
        <v>0.7607158995545801</v>
      </c>
      <c r="M27" s="20">
        <f>(M14-M20)/M14</f>
        <v>0.76</v>
      </c>
      <c r="N27" s="20">
        <f>(N14-N20)/N14</f>
        <v>0.76</v>
      </c>
      <c r="O27" s="20">
        <f>(O14-O20)/O14</f>
        <v>0.765</v>
      </c>
      <c r="P27" s="20">
        <f>(P14-P20)/P14</f>
        <v>0.765</v>
      </c>
      <c r="Q27" s="19">
        <f>(Q14-Q20)/Q14</f>
        <v>0.7625338583196818</v>
      </c>
      <c r="R27" s="20">
        <f>(R14-R20)/R14</f>
        <v>0.77</v>
      </c>
      <c r="S27" s="20">
        <f>(S14-S20)/S14</f>
        <v>0.77</v>
      </c>
      <c r="T27" s="20">
        <f>(T14-T20)/T14</f>
        <v>0.775</v>
      </c>
      <c r="U27" s="20">
        <f>(U14-U20)/U14</f>
        <v>0.775</v>
      </c>
      <c r="V27" s="19">
        <f>(V14-V20)/V14</f>
        <v>0.7725338583196819</v>
      </c>
    </row>
    <row r="29" spans="1:22">
      <c r="A29" s="11" t="s">
        <v>92</v>
      </c>
      <c r="B29" s="11"/>
      <c r="C29" s="11"/>
      <c r="D29" s="11"/>
      <c r="E29" s="11"/>
      <c r="F29" s="11"/>
      <c r="G29" s="11"/>
      <c r="H29" s="11"/>
      <c r="I29" s="11"/>
      <c r="J29" s="11"/>
      <c r="K29" s="11"/>
      <c r="L29" s="11"/>
      <c r="M29" s="11"/>
      <c r="N29" s="11"/>
      <c r="O29" s="11"/>
      <c r="P29" s="11"/>
      <c r="Q29" s="11"/>
      <c r="R29" s="11"/>
      <c r="S29" s="11"/>
      <c r="T29" s="11"/>
      <c r="U29" s="11"/>
      <c r="V29" s="11"/>
    </row>
    <row r="30" spans="1:22">
      <c r="A30" s="12" t="s">
        <v>28</v>
      </c>
      <c r="B30" s="13">
        <f>'Historical Data'!B15</f>
        <v>31370</v>
      </c>
      <c r="C30" s="14">
        <f>'Historical Data'!C15</f>
        <v>8268</v>
      </c>
      <c r="D30" s="14">
        <f>'Historical Data'!D15</f>
        <v>8550</v>
      </c>
      <c r="E30" s="14">
        <f>'Historical Data'!E15</f>
        <v>8866</v>
      </c>
      <c r="F30" s="14">
        <f>'Historical Data'!F15</f>
        <v>8866</v>
      </c>
      <c r="G30" s="13">
        <f>SUM(C30,D30,E30,F30)</f>
        <v>34550</v>
      </c>
      <c r="H30" s="14">
        <f>'Historical Data'!G15</f>
        <v>10887</v>
      </c>
      <c r="I30" s="14">
        <f>'Historical Data'!H15</f>
        <v>11419</v>
      </c>
      <c r="J30" s="14">
        <f>'Historical Data'!I15</f>
        <v>11729</v>
      </c>
      <c r="K30" s="14">
        <f>K15*Assumptions!B18</f>
        <v>11237.53059</v>
      </c>
      <c r="L30" s="13">
        <f>SUM(H30,I30,J30,K30)</f>
        <v>45272.53059</v>
      </c>
      <c r="M30" s="14">
        <f>M15*Assumptions!C18</f>
        <v>11820.28988</v>
      </c>
      <c r="N30" s="14">
        <f>N15*Assumptions!D18</f>
        <v>12103.24511</v>
      </c>
      <c r="O30" s="14">
        <f>O15*Assumptions!E18</f>
        <v>12324.842249999998</v>
      </c>
      <c r="P30" s="14">
        <f>P15*Assumptions!F18</f>
        <v>11812.860402000002</v>
      </c>
      <c r="Q30" s="13">
        <f>SUM(M30,N30,O30,P30)</f>
        <v>48061.237642</v>
      </c>
      <c r="R30" s="14">
        <f>R15*Assumptions!G18</f>
        <v>12198.091365</v>
      </c>
      <c r="S30" s="14">
        <f>S15*Assumptions!H18</f>
        <v>12623.731956000001</v>
      </c>
      <c r="T30" s="14">
        <f>T15*Assumptions!I18</f>
        <v>12866.1302889</v>
      </c>
      <c r="U30" s="14">
        <f>U15*Assumptions!J18</f>
        <v>12313.14775485</v>
      </c>
      <c r="V30" s="13">
        <f>SUM(R30,S30,T30,U30)</f>
        <v>50001.10136475</v>
      </c>
    </row>
    <row r="31" spans="1:22">
      <c r="A31" s="12" t="s">
        <v>29</v>
      </c>
      <c r="B31" s="13">
        <f>'Historical Data'!B16</f>
        <v>26097</v>
      </c>
      <c r="C31" s="14">
        <f>'Historical Data'!C16</f>
        <v>7175</v>
      </c>
      <c r="D31" s="14">
        <f>'Historical Data'!D16</f>
        <v>6728</v>
      </c>
      <c r="E31" s="14">
        <f>'Historical Data'!E16</f>
        <v>6650</v>
      </c>
      <c r="F31" s="14">
        <f>'Historical Data'!F16</f>
        <v>7048</v>
      </c>
      <c r="G31" s="13">
        <f>SUM(C31,D31,E31,F31)</f>
        <v>27601</v>
      </c>
      <c r="H31" s="14">
        <f>'Historical Data'!G16</f>
        <v>7492</v>
      </c>
      <c r="I31" s="14">
        <f>'Historical Data'!H16</f>
        <v>7477</v>
      </c>
      <c r="J31" s="14">
        <f>'Historical Data'!I16</f>
        <v>7346</v>
      </c>
      <c r="K31" s="14">
        <f>K15*Assumptions!B19</f>
        <v>7378.176649999999</v>
      </c>
      <c r="L31" s="13">
        <f>SUM(H31,I31,J31,K31)</f>
        <v>29693.17665</v>
      </c>
      <c r="M31" s="14">
        <f>M15*Assumptions!C19</f>
        <v>7932.03663</v>
      </c>
      <c r="N31" s="14">
        <f>N15*Assumptions!D19</f>
        <v>7909.051259999999</v>
      </c>
      <c r="O31" s="14">
        <f>O15*Assumptions!E19</f>
        <v>7747.043699999999</v>
      </c>
      <c r="P31" s="14">
        <f>P15*Assumptions!F19</f>
        <v>7794.052224000002</v>
      </c>
      <c r="Q31" s="13">
        <f>SUM(M31,N31,O31,P31)</f>
        <v>31382.183814</v>
      </c>
      <c r="R31" s="14">
        <f>R15*Assumptions!G19</f>
        <v>8241.953625</v>
      </c>
      <c r="S31" s="14">
        <f>S15*Assumptions!H19</f>
        <v>8288.308860000001</v>
      </c>
      <c r="T31" s="14">
        <f>T15*Assumptions!I19</f>
        <v>8119.402609500001</v>
      </c>
      <c r="U31" s="14">
        <f>U15*Assumptions!J19</f>
        <v>8165.56114269</v>
      </c>
      <c r="V31" s="13">
        <f>SUM(R31,S31,T31,U31)</f>
        <v>32815.22623719</v>
      </c>
    </row>
    <row r="32" spans="1:22">
      <c r="A32" s="3" t="s">
        <v>93</v>
      </c>
      <c r="B32" s="15">
        <f>B30+B31</f>
        <v>57467</v>
      </c>
      <c r="C32" s="16">
        <f>C30+C31</f>
        <v>15443</v>
      </c>
      <c r="D32" s="16">
        <f>D30+D31</f>
        <v>15278</v>
      </c>
      <c r="E32" s="16">
        <f>E30+E31</f>
        <v>15516</v>
      </c>
      <c r="F32" s="16">
        <f>F30+F31</f>
        <v>15914</v>
      </c>
      <c r="G32" s="15">
        <f>G30+G31</f>
        <v>62151</v>
      </c>
      <c r="H32" s="16">
        <f>H30+H31</f>
        <v>18379</v>
      </c>
      <c r="I32" s="16">
        <f>I30+I31</f>
        <v>18896</v>
      </c>
      <c r="J32" s="16">
        <f>J30+J31</f>
        <v>19075</v>
      </c>
      <c r="K32" s="16">
        <f>K30+K31</f>
        <v>18615.70724</v>
      </c>
      <c r="L32" s="15">
        <f>L30+L31</f>
        <v>74965.70724</v>
      </c>
      <c r="M32" s="16">
        <f>M30+M31</f>
        <v>19752.32651</v>
      </c>
      <c r="N32" s="16">
        <f>N30+N31</f>
        <v>20012.29637</v>
      </c>
      <c r="O32" s="16">
        <f>O30+O31</f>
        <v>20071.885949999996</v>
      </c>
      <c r="P32" s="16">
        <f>P30+P31</f>
        <v>19606.912626000005</v>
      </c>
      <c r="Q32" s="15">
        <f>Q30+Q31</f>
        <v>79443.421456</v>
      </c>
      <c r="R32" s="16">
        <f>R30+R31</f>
        <v>20440.044990000002</v>
      </c>
      <c r="S32" s="16">
        <f>S30+S31</f>
        <v>20912.040816</v>
      </c>
      <c r="T32" s="16">
        <f>T30+T31</f>
        <v>20985.5328984</v>
      </c>
      <c r="U32" s="16">
        <f>U30+U31</f>
        <v>20478.70889754</v>
      </c>
      <c r="V32" s="15">
        <f>V30+V31</f>
        <v>82816.32760194</v>
      </c>
    </row>
    <row r="33" spans="1:22">
      <c r="A33" s="17" t="s">
        <v>94</v>
      </c>
      <c r="B33" s="19">
        <f>B30/B15</f>
        <v>0.08022299794136074</v>
      </c>
      <c r="C33" s="20">
        <f>C30/C15</f>
        <v>0.06651649235720032</v>
      </c>
      <c r="D33" s="20">
        <f>D30/D15</f>
        <v>0.0896611751381621</v>
      </c>
      <c r="E33" s="20">
        <f>E30/E15</f>
        <v>0.09428304053766642</v>
      </c>
      <c r="F33" s="20">
        <f>F30/F15</f>
        <v>0.08652626236995686</v>
      </c>
      <c r="G33" s="19">
        <f>G30/G15</f>
        <v>0.08302075398703868</v>
      </c>
      <c r="H33" s="20">
        <f>H30/H15</f>
        <v>0.07573249116558613</v>
      </c>
      <c r="I33" s="20">
        <f>I30/I15</f>
        <v>0.10270362642106778</v>
      </c>
      <c r="J33" s="20">
        <f>J30/J15</f>
        <v>0.107195408391749</v>
      </c>
      <c r="K33" s="20">
        <f>K30/K15</f>
        <v>0.09900000000000002</v>
      </c>
      <c r="L33" s="19">
        <f>L30/L15</f>
        <v>0.09473868617656936</v>
      </c>
      <c r="M33" s="20">
        <f>M30/M15</f>
        <v>0.076</v>
      </c>
      <c r="N33" s="20">
        <f>N30/N15</f>
        <v>0.101</v>
      </c>
      <c r="O33" s="20">
        <f>O30/O15</f>
        <v>0.105</v>
      </c>
      <c r="P33" s="20">
        <f>P30/P15</f>
        <v>0.097</v>
      </c>
      <c r="Q33" s="19">
        <f>Q30/Q15</f>
        <v>0.09340880817247173</v>
      </c>
      <c r="R33" s="20">
        <f>R30/R15</f>
        <v>0.074</v>
      </c>
      <c r="S33" s="20">
        <f>S30/S15</f>
        <v>0.09899999999999999</v>
      </c>
      <c r="T33" s="20">
        <f>T30/T15</f>
        <v>0.103</v>
      </c>
      <c r="U33" s="20">
        <f>U30/U15</f>
        <v>0.095</v>
      </c>
      <c r="V33" s="19">
        <f>V30/V15</f>
        <v>0.09143016998928963</v>
      </c>
    </row>
    <row r="34" spans="1:22">
      <c r="A34" s="17" t="s">
        <v>95</v>
      </c>
      <c r="B34" s="19">
        <f>B31/B15</f>
        <v>0.06673827151022287</v>
      </c>
      <c r="C34" s="20">
        <f>C31/C15</f>
        <v>0.05772325020112631</v>
      </c>
      <c r="D34" s="20">
        <f>D31/D15</f>
        <v>0.07055443114965551</v>
      </c>
      <c r="E34" s="20">
        <f>E31/E15</f>
        <v>0.070717597515845</v>
      </c>
      <c r="F34" s="20">
        <f>F31/F15</f>
        <v>0.06878379169675795</v>
      </c>
      <c r="G34" s="19">
        <f>G31/G15</f>
        <v>0.06632288945864702</v>
      </c>
      <c r="H34" s="20">
        <f>H31/H15</f>
        <v>0.05211608558947105</v>
      </c>
      <c r="I34" s="20">
        <f>I31/I15</f>
        <v>0.06724888473161605</v>
      </c>
      <c r="J34" s="20">
        <f>J31/J15</f>
        <v>0.06713764771470612</v>
      </c>
      <c r="K34" s="20">
        <f>K31/K15</f>
        <v>0.065</v>
      </c>
      <c r="L34" s="19">
        <f>L31/L15</f>
        <v>0.06213685224945555</v>
      </c>
      <c r="M34" s="20">
        <f>M31/M15</f>
        <v>0.051</v>
      </c>
      <c r="N34" s="20">
        <f>N31/N15</f>
        <v>0.066</v>
      </c>
      <c r="O34" s="20">
        <f>O31/O15</f>
        <v>0.066</v>
      </c>
      <c r="P34" s="20">
        <f>P31/P15</f>
        <v>0.064</v>
      </c>
      <c r="Q34" s="19">
        <f>Q31/Q15</f>
        <v>0.06099244488355603</v>
      </c>
      <c r="R34" s="20">
        <f>R31/R15</f>
        <v>0.049999999999999996</v>
      </c>
      <c r="S34" s="20">
        <f>S31/S15</f>
        <v>0.065</v>
      </c>
      <c r="T34" s="20">
        <f>T31/T15</f>
        <v>0.065</v>
      </c>
      <c r="U34" s="20">
        <f>U31/U15</f>
        <v>0.063</v>
      </c>
      <c r="V34" s="19">
        <f>V31/V15</f>
        <v>0.0600047125205615</v>
      </c>
    </row>
    <row r="36" spans="1:22">
      <c r="A36" s="3" t="s">
        <v>96</v>
      </c>
      <c r="B36" s="15">
        <f>B24-B32</f>
        <v>123216</v>
      </c>
      <c r="C36" s="16">
        <f>C24-C32</f>
        <v>42832</v>
      </c>
      <c r="D36" s="16">
        <f>D24-D32</f>
        <v>29589</v>
      </c>
      <c r="E36" s="16">
        <f>E24-E32</f>
        <v>28202</v>
      </c>
      <c r="F36" s="16">
        <f>F24-F32</f>
        <v>32427</v>
      </c>
      <c r="G36" s="15">
        <f>G24-G32</f>
        <v>133050</v>
      </c>
      <c r="H36" s="16">
        <f>H24-H32</f>
        <v>50852</v>
      </c>
      <c r="I36" s="16">
        <f>I24-I32</f>
        <v>35885</v>
      </c>
      <c r="J36" s="16">
        <f>J24-J32</f>
        <v>35695</v>
      </c>
      <c r="K36" s="16">
        <f>K24-K32</f>
        <v>35373.59241</v>
      </c>
      <c r="L36" s="15">
        <f>L24-L32</f>
        <v>157805.59241000004</v>
      </c>
      <c r="M36" s="16">
        <f>M24-M32</f>
        <v>51020.550690000004</v>
      </c>
      <c r="N36" s="16">
        <f>N24-N32</f>
        <v>37856.64112999999</v>
      </c>
      <c r="O36" s="16">
        <f>O24-O32</f>
        <v>37372.20299999999</v>
      </c>
      <c r="P36" s="16">
        <f>P24-P32</f>
        <v>40126.32212400001</v>
      </c>
      <c r="Q36" s="15">
        <f>Q24-Q32</f>
        <v>166375.71694400004</v>
      </c>
      <c r="R36" s="16">
        <f>R24-R32</f>
        <v>56880.471861000005</v>
      </c>
      <c r="S36" s="16">
        <f>S24-S32</f>
        <v>42561.33955200001</v>
      </c>
      <c r="T36" s="16">
        <f>T24-T32</f>
        <v>42010.05599910001</v>
      </c>
      <c r="U36" s="16">
        <f>U24-U32</f>
        <v>45034.04813001001</v>
      </c>
      <c r="V36" s="15">
        <f>V24-V32</f>
        <v>186485.91554211007</v>
      </c>
    </row>
    <row r="37" spans="1:22">
      <c r="A37" s="17" t="s">
        <v>97</v>
      </c>
      <c r="B37" s="19">
        <f>B36/B15</f>
        <v>0.31510222870075566</v>
      </c>
      <c r="C37" s="20">
        <f>C36/C15</f>
        <v>0.34458567980691873</v>
      </c>
      <c r="D37" s="20">
        <f>D36/D15</f>
        <v>0.31029058610094484</v>
      </c>
      <c r="E37" s="20">
        <f>E36/E15</f>
        <v>0.2999064188183249</v>
      </c>
      <c r="F37" s="20">
        <f>F36/F15</f>
        <v>0.3164659496808698</v>
      </c>
      <c r="G37" s="19">
        <f>G36/G15</f>
        <v>0.31970799762591884</v>
      </c>
      <c r="H37" s="20">
        <f>H36/H15</f>
        <v>0.35373827875010433</v>
      </c>
      <c r="I37" s="20">
        <f>I36/I15</f>
        <v>0.32275327385235286</v>
      </c>
      <c r="J37" s="20">
        <f>J36/J15</f>
        <v>0.3262290137729969</v>
      </c>
      <c r="K37" s="20">
        <f>K36/K15</f>
        <v>0.3116330247595793</v>
      </c>
      <c r="L37" s="19">
        <f>L36/L15</f>
        <v>0.3302288231164373</v>
      </c>
      <c r="M37" s="20">
        <f>M36/M15</f>
        <v>0.32804287304331325</v>
      </c>
      <c r="N37" s="20">
        <f>N36/N15</f>
        <v>0.3159087269058868</v>
      </c>
      <c r="O37" s="20">
        <f>O36/O15</f>
        <v>0.3183879546206767</v>
      </c>
      <c r="P37" s="20">
        <f>P36/P15</f>
        <v>0.3294928673980618</v>
      </c>
      <c r="Q37" s="19">
        <f>Q36/Q15</f>
        <v>0.3233574121486739</v>
      </c>
      <c r="R37" s="20">
        <f>R36/R15</f>
        <v>0.3450666823000961</v>
      </c>
      <c r="S37" s="20">
        <f>S36/S15</f>
        <v>0.33378185075019035</v>
      </c>
      <c r="T37" s="20">
        <f>T36/T15</f>
        <v>0.3363121366523364</v>
      </c>
      <c r="U37" s="20">
        <f>U36/U15</f>
        <v>0.34745254889561494</v>
      </c>
      <c r="V37" s="19">
        <f>V36/V15</f>
        <v>0.3410012678369466</v>
      </c>
    </row>
    <row r="39" spans="1:22">
      <c r="A39" s="11" t="s">
        <v>98</v>
      </c>
      <c r="B39" s="11"/>
      <c r="C39" s="11"/>
      <c r="D39" s="11"/>
      <c r="E39" s="11"/>
      <c r="F39" s="11"/>
      <c r="G39" s="11"/>
      <c r="H39" s="11"/>
      <c r="I39" s="11"/>
      <c r="J39" s="11"/>
      <c r="K39" s="11"/>
      <c r="L39" s="11"/>
      <c r="M39" s="11"/>
      <c r="N39" s="11"/>
      <c r="O39" s="11"/>
      <c r="P39" s="11"/>
      <c r="Q39" s="11"/>
      <c r="R39" s="11"/>
      <c r="S39" s="11"/>
      <c r="T39" s="11"/>
      <c r="U39" s="11"/>
      <c r="V39" s="11"/>
    </row>
    <row r="40" spans="1:22">
      <c r="A40" s="12" t="s">
        <v>30</v>
      </c>
      <c r="B40" s="13">
        <f>'Historical Data'!B17</f>
        <v>269</v>
      </c>
      <c r="C40" s="14">
        <f>'Historical Data'!C17</f>
        <v>-248</v>
      </c>
      <c r="D40" s="14">
        <f>'Historical Data'!D17</f>
        <v>-279</v>
      </c>
      <c r="E40" s="14">
        <f>'Historical Data'!E17</f>
        <v>-171</v>
      </c>
      <c r="F40" s="14">
        <f>'Historical Data'!F17</f>
        <v>377</v>
      </c>
      <c r="G40" s="13">
        <f>SUM(C40,D40,E40,F40)</f>
        <v>-321</v>
      </c>
      <c r="H40" s="14">
        <f>'Historical Data'!G17</f>
        <v>150</v>
      </c>
      <c r="I40" s="14">
        <f>'Historical Data'!H17</f>
        <v>-52</v>
      </c>
      <c r="J40" s="14">
        <f>'Historical Data'!I17</f>
        <v>572</v>
      </c>
      <c r="K40" s="14">
        <f>K15*Assumptions!B20</f>
        <v>340.53123</v>
      </c>
      <c r="L40" s="13">
        <f>SUM(H40,I40,J40,K40)</f>
        <v>1010.53123</v>
      </c>
      <c r="M40" s="14">
        <f>M15*Assumptions!C20</f>
        <v>155.53013</v>
      </c>
      <c r="N40" s="14">
        <f>N15*Assumptions!D20</f>
        <v>-119.83411</v>
      </c>
      <c r="O40" s="14">
        <f>O15*Assumptions!E20</f>
        <v>469.51779999999997</v>
      </c>
      <c r="P40" s="14">
        <f>P15*Assumptions!F20</f>
        <v>365.3461980000001</v>
      </c>
      <c r="Q40" s="13">
        <f>SUM(M40,N40,O40,P40)</f>
        <v>870.560018</v>
      </c>
      <c r="R40" s="14">
        <f>R15*Assumptions!G20</f>
        <v>164.83907250000001</v>
      </c>
      <c r="S40" s="14">
        <f>S15*Assumptions!H20</f>
        <v>-127.51244400000002</v>
      </c>
      <c r="T40" s="14">
        <f>T15*Assumptions!I20</f>
        <v>499.65554520000006</v>
      </c>
      <c r="U40" s="14">
        <f>U15*Assumptions!J20</f>
        <v>388.83624489</v>
      </c>
      <c r="V40" s="13">
        <f>SUM(R40,S40,T40,U40)</f>
        <v>925.8184185900001</v>
      </c>
    </row>
    <row r="41" spans="1:22">
      <c r="A41" s="3" t="s">
        <v>99</v>
      </c>
      <c r="B41" s="15">
        <f>B36+B40</f>
        <v>123485</v>
      </c>
      <c r="C41" s="16">
        <f>C36+C40</f>
        <v>42584</v>
      </c>
      <c r="D41" s="16">
        <f>D36+D40</f>
        <v>29310</v>
      </c>
      <c r="E41" s="16">
        <f>E36+E40</f>
        <v>28031</v>
      </c>
      <c r="F41" s="16">
        <f>F36+F40</f>
        <v>32804</v>
      </c>
      <c r="G41" s="15">
        <f>G36+G40</f>
        <v>132729</v>
      </c>
      <c r="H41" s="16">
        <f>H36+H40</f>
        <v>51002</v>
      </c>
      <c r="I41" s="16">
        <f>I36+I40</f>
        <v>35833</v>
      </c>
      <c r="J41" s="16">
        <f>J36+J40</f>
        <v>36267</v>
      </c>
      <c r="K41" s="16">
        <f>K36+K40</f>
        <v>35714.12364</v>
      </c>
      <c r="L41" s="15">
        <f>L36+L40</f>
        <v>158816.12364000003</v>
      </c>
      <c r="M41" s="16">
        <f>M36+M40</f>
        <v>51176.08082</v>
      </c>
      <c r="N41" s="16">
        <f>N36+N40</f>
        <v>37736.807019999986</v>
      </c>
      <c r="O41" s="16">
        <f>O36+O40</f>
        <v>37841.72079999999</v>
      </c>
      <c r="P41" s="16">
        <f>P36+P40</f>
        <v>40491.66832200001</v>
      </c>
      <c r="Q41" s="15">
        <f>Q36+Q40</f>
        <v>167246.27696200003</v>
      </c>
      <c r="R41" s="16">
        <f>R36+R40</f>
        <v>57045.310933500004</v>
      </c>
      <c r="S41" s="16">
        <f>S36+S40</f>
        <v>42433.82710800001</v>
      </c>
      <c r="T41" s="16">
        <f>T36+T40</f>
        <v>42509.711544300015</v>
      </c>
      <c r="U41" s="16">
        <f>U36+U40</f>
        <v>45422.88437490001</v>
      </c>
      <c r="V41" s="15">
        <f>V36+V40</f>
        <v>187411.73396070008</v>
      </c>
    </row>
    <row r="42" spans="1:22">
      <c r="A42" s="12" t="s">
        <v>31</v>
      </c>
      <c r="B42" s="13">
        <f>'Historical Data'!B18</f>
        <v>29749</v>
      </c>
      <c r="C42" s="14">
        <f>'Historical Data'!C18</f>
        <v>6254</v>
      </c>
      <c r="D42" s="14">
        <f>'Historical Data'!D18</f>
        <v>4530</v>
      </c>
      <c r="E42" s="14">
        <f>'Historical Data'!E18</f>
        <v>4597</v>
      </c>
      <c r="F42" s="14">
        <f>'Historical Data'!F18</f>
        <v>5338</v>
      </c>
      <c r="G42" s="13">
        <f>SUM(C42,D42,E42,F42)</f>
        <v>20719</v>
      </c>
      <c r="H42" s="14">
        <f>'Historical Data'!G18</f>
        <v>8905</v>
      </c>
      <c r="I42" s="14">
        <f>'Historical Data'!H18</f>
        <v>6255</v>
      </c>
      <c r="J42" s="14">
        <f>'Historical Data'!I18</f>
        <v>6478</v>
      </c>
      <c r="K42" s="14">
        <f>K41*Assumptions!B21</f>
        <v>6357.1140079199995</v>
      </c>
      <c r="L42" s="13">
        <f>SUM(H42,I42,J42,K42)</f>
        <v>27995.114007919998</v>
      </c>
      <c r="M42" s="14">
        <f>M41*Assumptions!C21</f>
        <v>9058.16630514</v>
      </c>
      <c r="N42" s="14">
        <f>N41*Assumptions!D21</f>
        <v>6679.414842539997</v>
      </c>
      <c r="O42" s="14">
        <f>O41*Assumptions!E21</f>
        <v>6697.984581599998</v>
      </c>
      <c r="P42" s="14">
        <f>P41*Assumptions!F21</f>
        <v>7167.025292994002</v>
      </c>
      <c r="Q42" s="13">
        <f>SUM(M42,N42,O42,P42)</f>
        <v>29602.591022273995</v>
      </c>
      <c r="R42" s="14">
        <f>R41*Assumptions!G21</f>
        <v>10097.0200352295</v>
      </c>
      <c r="S42" s="14">
        <f>S41*Assumptions!H21</f>
        <v>7510.787398116002</v>
      </c>
      <c r="T42" s="14">
        <f>T41*Assumptions!I21</f>
        <v>7524.218943341102</v>
      </c>
      <c r="U42" s="14">
        <f>U41*Assumptions!J21</f>
        <v>8039.850534357301</v>
      </c>
      <c r="V42" s="13">
        <f>SUM(R42,S42,T42,U42)</f>
        <v>33171.8769110439</v>
      </c>
    </row>
    <row r="43" spans="1:22">
      <c r="A43" s="17" t="s">
        <v>100</v>
      </c>
      <c r="B43" s="19">
        <f>B42/B41</f>
        <v>0.24091185164189982</v>
      </c>
      <c r="C43" s="20">
        <f>C42/C41</f>
        <v>0.14686267142588766</v>
      </c>
      <c r="D43" s="20">
        <f>D42/D41</f>
        <v>0.15455475946775846</v>
      </c>
      <c r="E43" s="20">
        <f>E42/E41</f>
        <v>0.16399700331775535</v>
      </c>
      <c r="F43" s="20">
        <f>F42/F41</f>
        <v>0.16272405804170223</v>
      </c>
      <c r="G43" s="19">
        <f>G42/G41</f>
        <v>0.15610002335586043</v>
      </c>
      <c r="H43" s="20">
        <f>H42/H41</f>
        <v>0.17460099603937101</v>
      </c>
      <c r="I43" s="20">
        <f>I42/I41</f>
        <v>0.17455976334663578</v>
      </c>
      <c r="J43" s="20">
        <f>J42/J41</f>
        <v>0.1786196818043952</v>
      </c>
      <c r="K43" s="20">
        <f>K42/K41</f>
        <v>0.178</v>
      </c>
      <c r="L43" s="19">
        <f>L42/L41</f>
        <v>0.17627375209949428</v>
      </c>
      <c r="M43" s="20">
        <f>M42/M41</f>
        <v>0.17699999999999996</v>
      </c>
      <c r="N43" s="20">
        <f>N42/N41</f>
        <v>0.177</v>
      </c>
      <c r="O43" s="20">
        <f>O42/O41</f>
        <v>0.177</v>
      </c>
      <c r="P43" s="20">
        <f>P42/P41</f>
        <v>0.177</v>
      </c>
      <c r="Q43" s="19">
        <f>Q42/Q41</f>
        <v>0.17699999999999994</v>
      </c>
      <c r="R43" s="20">
        <f>R42/R41</f>
        <v>0.177</v>
      </c>
      <c r="S43" s="20">
        <f>S42/S41</f>
        <v>0.177</v>
      </c>
      <c r="T43" s="20">
        <f>T42/T41</f>
        <v>0.177</v>
      </c>
      <c r="U43" s="20">
        <f>U42/U41</f>
        <v>0.177</v>
      </c>
      <c r="V43" s="19">
        <f>V42/V41</f>
        <v>0.17699999999999994</v>
      </c>
    </row>
    <row r="44" spans="1:22">
      <c r="A44" s="3" t="s">
        <v>101</v>
      </c>
      <c r="B44" s="15">
        <f>B41-B42</f>
        <v>93736</v>
      </c>
      <c r="C44" s="16">
        <f>C41-C42</f>
        <v>36330</v>
      </c>
      <c r="D44" s="16">
        <f>D41-D42</f>
        <v>24780</v>
      </c>
      <c r="E44" s="16">
        <f>E41-E42</f>
        <v>23434</v>
      </c>
      <c r="F44" s="16">
        <f>F41-F42</f>
        <v>27466</v>
      </c>
      <c r="G44" s="15">
        <f>G41-G42</f>
        <v>112010</v>
      </c>
      <c r="H44" s="16">
        <f>H41-H42</f>
        <v>42097</v>
      </c>
      <c r="I44" s="16">
        <f>I41-I42</f>
        <v>29578</v>
      </c>
      <c r="J44" s="16">
        <f>J41-J42</f>
        <v>29789</v>
      </c>
      <c r="K44" s="16">
        <f>K41-K42</f>
        <v>29357.00963208</v>
      </c>
      <c r="L44" s="15">
        <f>L41-L42</f>
        <v>130821.00963208004</v>
      </c>
      <c r="M44" s="16">
        <f>M41-M42</f>
        <v>42117.91451486001</v>
      </c>
      <c r="N44" s="16">
        <f>N41-N42</f>
        <v>31057.392177459988</v>
      </c>
      <c r="O44" s="16">
        <f>O41-O42</f>
        <v>31143.73621839999</v>
      </c>
      <c r="P44" s="16">
        <f>P41-P42</f>
        <v>33324.64302900601</v>
      </c>
      <c r="Q44" s="15">
        <f>Q41-Q42</f>
        <v>137643.68593972604</v>
      </c>
      <c r="R44" s="16">
        <f>R41-R42</f>
        <v>46948.290898270505</v>
      </c>
      <c r="S44" s="16">
        <f>S41-S42</f>
        <v>34923.03970988401</v>
      </c>
      <c r="T44" s="16">
        <f>T41-T42</f>
        <v>34985.49260095891</v>
      </c>
      <c r="U44" s="16">
        <f>U41-U42</f>
        <v>37383.03384054271</v>
      </c>
      <c r="V44" s="15">
        <f>V41-V42</f>
        <v>154239.85704965616</v>
      </c>
    </row>
    <row r="45" spans="1:22">
      <c r="A45" s="17" t="s">
        <v>102</v>
      </c>
      <c r="B45" s="19">
        <f>B44/B15</f>
        <v>0.23971255769943867</v>
      </c>
      <c r="C45" s="20">
        <f>C44/C15</f>
        <v>0.2922767497988737</v>
      </c>
      <c r="D45" s="20">
        <f>D44/D15</f>
        <v>0.25986010759341016</v>
      </c>
      <c r="E45" s="20">
        <f>E44/E15</f>
        <v>0.24920243311072354</v>
      </c>
      <c r="F45" s="20">
        <f>F44/F15</f>
        <v>0.2680498897195167</v>
      </c>
      <c r="G45" s="19">
        <f>G44/G15</f>
        <v>0.2691506412181824</v>
      </c>
      <c r="H45" s="20">
        <f>H44/H15</f>
        <v>0.292836472912435</v>
      </c>
      <c r="I45" s="20">
        <f>I44/I15</f>
        <v>0.2660274859692042</v>
      </c>
      <c r="J45" s="20">
        <f>J44/J15</f>
        <v>0.2722520266503377</v>
      </c>
      <c r="K45" s="20">
        <f>K44/K15</f>
        <v>0.25862834635237425</v>
      </c>
      <c r="L45" s="19">
        <f>L44/L15</f>
        <v>0.27376005748556914</v>
      </c>
      <c r="M45" s="20">
        <f>M44/M15</f>
        <v>0.27080228451464683</v>
      </c>
      <c r="N45" s="20">
        <f>N44/N15</f>
        <v>0.25916988224354476</v>
      </c>
      <c r="O45" s="20">
        <f>O44/O15</f>
        <v>0.26532528665281696</v>
      </c>
      <c r="P45" s="20">
        <f>P44/P15</f>
        <v>0.2736416298686048</v>
      </c>
      <c r="Q45" s="19">
        <f>Q44/Q15</f>
        <v>0.2675156381087481</v>
      </c>
      <c r="R45" s="20">
        <f>R44/R15</f>
        <v>0.28481287953297907</v>
      </c>
      <c r="S45" s="20">
        <f>S44/S15</f>
        <v>0.2738794631674067</v>
      </c>
      <c r="T45" s="20">
        <f>T44/T15</f>
        <v>0.28007688846487283</v>
      </c>
      <c r="U45" s="20">
        <f>U44/U15</f>
        <v>0.2884224477410911</v>
      </c>
      <c r="V45" s="19">
        <f>V44/V15</f>
        <v>0.2820373144643492</v>
      </c>
    </row>
    <row r="47" spans="1:22">
      <c r="A47" s="11" t="s">
        <v>103</v>
      </c>
      <c r="B47" s="11"/>
      <c r="C47" s="11"/>
      <c r="D47" s="11"/>
      <c r="E47" s="11"/>
      <c r="F47" s="11"/>
      <c r="G47" s="11"/>
      <c r="H47" s="11"/>
      <c r="I47" s="11"/>
      <c r="J47" s="11"/>
      <c r="K47" s="11"/>
      <c r="L47" s="11"/>
      <c r="M47" s="11"/>
      <c r="N47" s="11"/>
      <c r="O47" s="11"/>
      <c r="P47" s="11"/>
      <c r="Q47" s="11"/>
      <c r="R47" s="11"/>
      <c r="S47" s="11"/>
      <c r="T47" s="11"/>
      <c r="U47" s="11"/>
      <c r="V47" s="11"/>
    </row>
    <row r="48" spans="1:22">
      <c r="A48" s="12" t="s">
        <v>104</v>
      </c>
      <c r="B48" s="21">
        <f>B44/B50</f>
        <v>6.1090540709549925</v>
      </c>
      <c r="C48" s="22">
        <f>C44/C50</f>
        <v>2.408875802262394</v>
      </c>
      <c r="D48" s="22">
        <f>D44/D50</f>
        <v>1.6526520263127813</v>
      </c>
      <c r="E48" s="22">
        <f>E44/E50</f>
        <v>1.5724471085667568</v>
      </c>
      <c r="F48" s="22">
        <f>F44/F50</f>
        <v>1.8538934090262185</v>
      </c>
      <c r="G48" s="21">
        <f>G44/G50</f>
        <v>7.493059629612664</v>
      </c>
      <c r="H48" s="22">
        <f>H44/H50</f>
        <v>2.854390358443407</v>
      </c>
      <c r="I48" s="22">
        <f>I44/I50</f>
        <v>2.0157731626157425</v>
      </c>
      <c r="J48" s="22">
        <f>J44/J50</f>
        <v>2.032531142301743</v>
      </c>
      <c r="K48" s="22">
        <f>K44/K50</f>
        <v>2.0111004399637165</v>
      </c>
      <c r="L48" s="21">
        <f>L44/L50</f>
        <v>8.918342685392842</v>
      </c>
      <c r="M48" s="22">
        <f>M44/M50</f>
        <v>2.896873067084829</v>
      </c>
      <c r="N48" s="22">
        <f>N44/N50</f>
        <v>2.1447084110245735</v>
      </c>
      <c r="O48" s="22">
        <f>O44/O50</f>
        <v>2.1593082434913664</v>
      </c>
      <c r="P48" s="22">
        <f>P44/P50</f>
        <v>2.3197976170088515</v>
      </c>
      <c r="Q48" s="21">
        <f>Q44/Q50</f>
        <v>9.524134793353538</v>
      </c>
      <c r="R48" s="22">
        <f>R44/R50</f>
        <v>3.281293214557876</v>
      </c>
      <c r="S48" s="22">
        <f>S44/S50</f>
        <v>2.450631169111703</v>
      </c>
      <c r="T48" s="22">
        <f>T44/T50</f>
        <v>2.4648731266827784</v>
      </c>
      <c r="U48" s="22">
        <f>U44/U50</f>
        <v>2.6443673249527526</v>
      </c>
      <c r="V48" s="21">
        <f>V44/V50</f>
        <v>10.844973611689815</v>
      </c>
    </row>
    <row r="49" spans="1:22">
      <c r="A49" s="3" t="s">
        <v>105</v>
      </c>
      <c r="B49" s="23">
        <f>B44/B51</f>
        <v>6.083555429791938</v>
      </c>
      <c r="C49" s="24">
        <f>C44/C51</f>
        <v>2.397882893154945</v>
      </c>
      <c r="D49" s="24">
        <f>D44/D51</f>
        <v>1.6458409340565736</v>
      </c>
      <c r="E49" s="24">
        <f>E44/E51</f>
        <v>1.5676825919732431</v>
      </c>
      <c r="F49" s="24">
        <f>F44/F51</f>
        <v>1.8478688453120637</v>
      </c>
      <c r="G49" s="23">
        <f>G44/G51</f>
        <v>7.464996043072247</v>
      </c>
      <c r="H49" s="24">
        <f>H44/H51</f>
        <v>2.842402978024296</v>
      </c>
      <c r="I49" s="24">
        <f>I44/I51</f>
        <v>2.0085736173332474</v>
      </c>
      <c r="J49" s="24">
        <f>J44/J51</f>
        <v>2.0244414487957467</v>
      </c>
      <c r="K49" s="24">
        <f>K44/K51</f>
        <v>2.0030960429680293</v>
      </c>
      <c r="L49" s="23">
        <f>L44/L51</f>
        <v>8.883265239217922</v>
      </c>
      <c r="M49" s="24">
        <f>M44/M51</f>
        <v>2.8853431993495904</v>
      </c>
      <c r="N49" s="24">
        <f>N44/N51</f>
        <v>2.136172239871361</v>
      </c>
      <c r="O49" s="24">
        <f>O44/O51</f>
        <v>2.150713963427822</v>
      </c>
      <c r="P49" s="24">
        <f>P44/P51</f>
        <v>2.310564571902202</v>
      </c>
      <c r="Q49" s="23">
        <f>Q44/Q51</f>
        <v>9.486227708052608</v>
      </c>
      <c r="R49" s="24">
        <f>R44/R51</f>
        <v>3.2682333131095676</v>
      </c>
      <c r="S49" s="24">
        <f>S44/S51</f>
        <v>2.4408773923346816</v>
      </c>
      <c r="T49" s="24">
        <f>T44/T51</f>
        <v>2.4550626653761687</v>
      </c>
      <c r="U49" s="24">
        <f>U44/U51</f>
        <v>2.6338424573475687</v>
      </c>
      <c r="V49" s="23">
        <f>V44/V51</f>
        <v>10.801809445211246</v>
      </c>
    </row>
    <row r="50" spans="1:22">
      <c r="A50" s="12" t="s">
        <v>32</v>
      </c>
      <c r="B50" s="25">
        <f>'Historical Data'!B19</f>
        <v>15343.783</v>
      </c>
      <c r="C50" s="26">
        <f>'Historical Data'!C19</f>
        <v>15081.724</v>
      </c>
      <c r="D50" s="26">
        <f>'Historical Data'!D19</f>
        <v>14994.082</v>
      </c>
      <c r="E50" s="26">
        <f>'Historical Data'!E19</f>
        <v>14902.886</v>
      </c>
      <c r="F50" s="26">
        <f>'Historical Data'!F19</f>
        <v>14815.307</v>
      </c>
      <c r="G50" s="25">
        <f>AVERAGE(C50,D50,E50,F50)</f>
        <v>14948.49975</v>
      </c>
      <c r="H50" s="26">
        <f>'Historical Data'!G19</f>
        <v>14748.158</v>
      </c>
      <c r="I50" s="26">
        <f>'Historical Data'!H19</f>
        <v>14673.278</v>
      </c>
      <c r="J50" s="26">
        <f>'Historical Data'!I19</f>
        <v>14656.11</v>
      </c>
      <c r="K50" s="26">
        <f>J50*(1+Assumptions!B23)</f>
        <v>14597.485560000001</v>
      </c>
      <c r="L50" s="25">
        <f>AVERAGE(H50,I50,J50,K50)</f>
        <v>14668.75789</v>
      </c>
      <c r="M50" s="26">
        <f>K50*(1+Assumptions!C23)</f>
        <v>14539.09561776</v>
      </c>
      <c r="N50" s="26">
        <f>M50*(1+Assumptions!D23)</f>
        <v>14480.93923528896</v>
      </c>
      <c r="O50" s="26">
        <f>N50*(1+Assumptions!E23)</f>
        <v>14423.015478347805</v>
      </c>
      <c r="P50" s="26">
        <f>O50*(1+Assumptions!F23)</f>
        <v>14365.323416434414</v>
      </c>
      <c r="Q50" s="25">
        <f>AVERAGE(M50,N50,O50,P50)</f>
        <v>14452.093436957795</v>
      </c>
      <c r="R50" s="26">
        <f>P50*(1+Assumptions!G23)</f>
        <v>14307.862122768676</v>
      </c>
      <c r="S50" s="26">
        <f>R50*(1+Assumptions!H23)</f>
        <v>14250.630674277601</v>
      </c>
      <c r="T50" s="26">
        <f>S50*(1+Assumptions!I23)</f>
        <v>14193.628151580491</v>
      </c>
      <c r="U50" s="26">
        <f>T50*(1+Assumptions!J23)</f>
        <v>14136.85363897417</v>
      </c>
      <c r="V50" s="25">
        <f>AVERAGE(R50,S50,T50,U50)</f>
        <v>14222.243646900235</v>
      </c>
    </row>
    <row r="51" spans="1:22">
      <c r="A51" s="12" t="s">
        <v>33</v>
      </c>
      <c r="B51" s="25">
        <f>'Historical Data'!B20</f>
        <v>15408.095</v>
      </c>
      <c r="C51" s="26">
        <f>'Historical Data'!C20</f>
        <v>15150.865</v>
      </c>
      <c r="D51" s="26">
        <f>'Historical Data'!D20</f>
        <v>15056.133</v>
      </c>
      <c r="E51" s="26">
        <f>'Historical Data'!E20</f>
        <v>14948.179</v>
      </c>
      <c r="F51" s="26">
        <f>'Historical Data'!F20</f>
        <v>14863.609</v>
      </c>
      <c r="G51" s="25">
        <f>AVERAGE(C51,D51,E51,F51)</f>
        <v>15004.6965</v>
      </c>
      <c r="H51" s="26">
        <f>'Historical Data'!G20</f>
        <v>14810.356</v>
      </c>
      <c r="I51" s="26">
        <f>'Historical Data'!H20</f>
        <v>14725.873</v>
      </c>
      <c r="J51" s="26">
        <f>'Historical Data'!I20</f>
        <v>14714.676</v>
      </c>
      <c r="K51" s="26">
        <f>J51*(1+Assumptions!B23)</f>
        <v>14655.817296</v>
      </c>
      <c r="L51" s="25">
        <f>AVERAGE(H51,I51,J51,K51)</f>
        <v>14726.680574</v>
      </c>
      <c r="M51" s="26">
        <f>K51*(1+Assumptions!C23)</f>
        <v>14597.194026816</v>
      </c>
      <c r="N51" s="26">
        <f>M51*(1+Assumptions!D23)</f>
        <v>14538.805250708736</v>
      </c>
      <c r="O51" s="26">
        <f>N51*(1+Assumptions!E23)</f>
        <v>14480.650029705901</v>
      </c>
      <c r="P51" s="26">
        <f>O51*(1+Assumptions!F23)</f>
        <v>14422.727429587077</v>
      </c>
      <c r="Q51" s="25">
        <f>AVERAGE(M51,N51,O51,P51)</f>
        <v>14509.844184204429</v>
      </c>
      <c r="R51" s="26">
        <f>P51*(1+Assumptions!G23)</f>
        <v>14365.036519868729</v>
      </c>
      <c r="S51" s="26">
        <f>R51*(1+Assumptions!H23)</f>
        <v>14307.576373789254</v>
      </c>
      <c r="T51" s="26">
        <f>S51*(1+Assumptions!I23)</f>
        <v>14250.346068294097</v>
      </c>
      <c r="U51" s="26">
        <f>T51*(1+Assumptions!J23)</f>
        <v>14193.34468402092</v>
      </c>
      <c r="V51" s="25">
        <f>AVERAGE(R51,S51,T51,U51)</f>
        <v>14279.07591149325</v>
      </c>
    </row>
  </sheetData>
  <mergeCells count="8">
    <mergeCell ref="A1:V1"/>
    <mergeCell ref="A2:V2"/>
    <mergeCell ref="A8:V8"/>
    <mergeCell ref="A18:V18"/>
    <mergeCell ref="A23:V23"/>
    <mergeCell ref="A29:V29"/>
    <mergeCell ref="A39:V39"/>
    <mergeCell ref="A47:V4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J23"/>
  <sheetViews>
    <sheetView showGridLines="0"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46.7109375" customWidth="1"/>
    <col min="2" max="10" width="11.7109375" customWidth="1"/>
  </cols>
  <sheetData>
    <row r="1" spans="1:10">
      <c r="A1" s="1" t="s">
        <v>34</v>
      </c>
      <c r="B1" s="1"/>
      <c r="C1" s="1"/>
      <c r="D1" s="1"/>
      <c r="E1" s="1"/>
      <c r="F1" s="1"/>
      <c r="G1" s="1"/>
      <c r="H1" s="1"/>
      <c r="I1" s="1"/>
      <c r="J1" s="1"/>
    </row>
    <row r="2" spans="1:10">
      <c r="A2" s="2" t="s">
        <v>35</v>
      </c>
      <c r="B2" s="2"/>
      <c r="C2" s="2"/>
      <c r="D2" s="2"/>
      <c r="E2" s="2"/>
      <c r="F2" s="2"/>
      <c r="G2" s="2"/>
      <c r="H2" s="2"/>
      <c r="I2" s="2"/>
      <c r="J2" s="2"/>
    </row>
    <row r="3" spans="1:10">
      <c r="A3" s="2" t="s">
        <v>36</v>
      </c>
      <c r="B3" s="2"/>
      <c r="C3" s="2"/>
      <c r="D3" s="2"/>
      <c r="E3" s="2"/>
      <c r="F3" s="2"/>
      <c r="G3" s="2"/>
      <c r="H3" s="2"/>
      <c r="I3" s="2"/>
      <c r="J3" s="2"/>
    </row>
    <row r="5" spans="1:10">
      <c r="A5" s="3" t="s">
        <v>2</v>
      </c>
      <c r="B5" s="6" t="s">
        <v>37</v>
      </c>
      <c r="C5" s="6" t="s">
        <v>40</v>
      </c>
      <c r="D5" s="6" t="s">
        <v>42</v>
      </c>
      <c r="E5" s="6" t="s">
        <v>44</v>
      </c>
      <c r="F5" s="6" t="s">
        <v>46</v>
      </c>
      <c r="G5" s="6" t="s">
        <v>48</v>
      </c>
      <c r="H5" s="6" t="s">
        <v>50</v>
      </c>
      <c r="I5" s="6" t="s">
        <v>52</v>
      </c>
      <c r="J5" s="6" t="s">
        <v>54</v>
      </c>
    </row>
    <row r="6" spans="1:10">
      <c r="B6" s="7" t="s">
        <v>38</v>
      </c>
      <c r="C6" s="7" t="s">
        <v>41</v>
      </c>
      <c r="D6" s="7" t="s">
        <v>43</v>
      </c>
      <c r="E6" s="7" t="s">
        <v>45</v>
      </c>
      <c r="F6" s="7" t="s">
        <v>47</v>
      </c>
      <c r="G6" s="7" t="s">
        <v>49</v>
      </c>
      <c r="H6" s="7" t="s">
        <v>51</v>
      </c>
      <c r="I6" s="7" t="s">
        <v>53</v>
      </c>
      <c r="J6" s="7" t="s">
        <v>55</v>
      </c>
    </row>
    <row r="7" spans="1:10">
      <c r="B7" s="9" t="s">
        <v>39</v>
      </c>
      <c r="C7" s="9" t="s">
        <v>39</v>
      </c>
      <c r="D7" s="9" t="s">
        <v>39</v>
      </c>
      <c r="E7" s="9" t="s">
        <v>39</v>
      </c>
      <c r="F7" s="9" t="s">
        <v>39</v>
      </c>
      <c r="G7" s="9" t="s">
        <v>39</v>
      </c>
      <c r="H7" s="9" t="s">
        <v>39</v>
      </c>
      <c r="I7" s="9" t="s">
        <v>39</v>
      </c>
      <c r="J7" s="9" t="s">
        <v>39</v>
      </c>
    </row>
    <row r="8" spans="1:10">
      <c r="A8" s="11" t="s">
        <v>56</v>
      </c>
      <c r="B8" s="11"/>
      <c r="C8" s="11"/>
      <c r="D8" s="11"/>
      <c r="E8" s="11"/>
      <c r="F8" s="11"/>
      <c r="G8" s="11"/>
      <c r="H8" s="11"/>
      <c r="I8" s="11"/>
      <c r="J8" s="11"/>
    </row>
    <row r="9" spans="1:10">
      <c r="A9" s="12" t="s">
        <v>60</v>
      </c>
      <c r="B9" s="27">
        <v>0.15</v>
      </c>
      <c r="C9" s="27">
        <v>0.08</v>
      </c>
      <c r="D9" s="27">
        <v>0.07000000000000001</v>
      </c>
      <c r="E9" s="27">
        <v>0.06</v>
      </c>
      <c r="F9" s="27">
        <v>0.06</v>
      </c>
      <c r="G9" s="27">
        <v>0.05</v>
      </c>
      <c r="H9" s="27">
        <v>0.05</v>
      </c>
      <c r="I9" s="27">
        <v>0.05</v>
      </c>
      <c r="J9" s="27">
        <v>0.05</v>
      </c>
    </row>
    <row r="10" spans="1:10">
      <c r="A10" s="12" t="s">
        <v>61</v>
      </c>
      <c r="B10" s="27">
        <v>0.05</v>
      </c>
      <c r="C10" s="27">
        <v>0.05</v>
      </c>
      <c r="D10" s="27">
        <v>0.05</v>
      </c>
      <c r="E10" s="27">
        <v>0.05</v>
      </c>
      <c r="F10" s="27">
        <v>0.05</v>
      </c>
      <c r="G10" s="27">
        <v>0.04</v>
      </c>
      <c r="H10" s="27">
        <v>0.04</v>
      </c>
      <c r="I10" s="27">
        <v>0.04</v>
      </c>
      <c r="J10" s="27">
        <v>0.04</v>
      </c>
    </row>
    <row r="11" spans="1:10">
      <c r="A11" s="12" t="s">
        <v>62</v>
      </c>
      <c r="B11" s="27">
        <v>-0.08</v>
      </c>
      <c r="C11" s="27">
        <v>0.02</v>
      </c>
      <c r="D11" s="27">
        <v>0.03</v>
      </c>
      <c r="E11" s="27">
        <v>0.03</v>
      </c>
      <c r="F11" s="27">
        <v>0.03</v>
      </c>
      <c r="G11" s="27">
        <v>0.03</v>
      </c>
      <c r="H11" s="27">
        <v>0.03</v>
      </c>
      <c r="I11" s="27">
        <v>0.03</v>
      </c>
      <c r="J11" s="27">
        <v>0.03</v>
      </c>
    </row>
    <row r="12" spans="1:10">
      <c r="A12" s="12" t="s">
        <v>63</v>
      </c>
      <c r="B12" s="27">
        <v>0.04</v>
      </c>
      <c r="C12" s="27">
        <v>0.04</v>
      </c>
      <c r="D12" s="27">
        <v>0.04</v>
      </c>
      <c r="E12" s="27">
        <v>0.04</v>
      </c>
      <c r="F12" s="27">
        <v>0.04</v>
      </c>
      <c r="G12" s="27">
        <v>0.03</v>
      </c>
      <c r="H12" s="27">
        <v>0.03</v>
      </c>
      <c r="I12" s="27">
        <v>0.03</v>
      </c>
      <c r="J12" s="27">
        <v>0.03</v>
      </c>
    </row>
    <row r="13" spans="1:10">
      <c r="A13" s="12" t="s">
        <v>64</v>
      </c>
      <c r="B13" s="27">
        <v>0.12</v>
      </c>
      <c r="C13" s="27">
        <v>0.13</v>
      </c>
      <c r="D13" s="27">
        <v>0.12</v>
      </c>
      <c r="E13" s="27">
        <v>0.12</v>
      </c>
      <c r="F13" s="27">
        <v>0.12</v>
      </c>
      <c r="G13" s="27">
        <v>0.11</v>
      </c>
      <c r="H13" s="27">
        <v>0.11</v>
      </c>
      <c r="I13" s="27">
        <v>0.11</v>
      </c>
      <c r="J13" s="27">
        <v>0.11</v>
      </c>
    </row>
    <row r="14" spans="1:10">
      <c r="A14" s="11" t="s">
        <v>57</v>
      </c>
      <c r="B14" s="11"/>
      <c r="C14" s="11"/>
      <c r="D14" s="11"/>
      <c r="E14" s="11"/>
      <c r="F14" s="11"/>
      <c r="G14" s="11"/>
      <c r="H14" s="11"/>
      <c r="I14" s="11"/>
      <c r="J14" s="11"/>
    </row>
    <row r="15" spans="1:10">
      <c r="A15" s="12" t="s">
        <v>65</v>
      </c>
      <c r="B15" s="27">
        <v>0.365</v>
      </c>
      <c r="C15" s="27">
        <v>0.37</v>
      </c>
      <c r="D15" s="27">
        <v>0.37</v>
      </c>
      <c r="E15" s="27">
        <v>0.375</v>
      </c>
      <c r="F15" s="27">
        <v>0.375</v>
      </c>
      <c r="G15" s="27">
        <v>0.38</v>
      </c>
      <c r="H15" s="27">
        <v>0.38</v>
      </c>
      <c r="I15" s="27">
        <v>0.385</v>
      </c>
      <c r="J15" s="27">
        <v>0.385</v>
      </c>
    </row>
    <row r="16" spans="1:10">
      <c r="A16" s="12" t="s">
        <v>66</v>
      </c>
      <c r="B16" s="27">
        <v>0.755</v>
      </c>
      <c r="C16" s="27">
        <v>0.76</v>
      </c>
      <c r="D16" s="27">
        <v>0.76</v>
      </c>
      <c r="E16" s="27">
        <v>0.765</v>
      </c>
      <c r="F16" s="27">
        <v>0.765</v>
      </c>
      <c r="G16" s="27">
        <v>0.77</v>
      </c>
      <c r="H16" s="27">
        <v>0.77</v>
      </c>
      <c r="I16" s="27">
        <v>0.775</v>
      </c>
      <c r="J16" s="27">
        <v>0.775</v>
      </c>
    </row>
    <row r="17" spans="1:10">
      <c r="A17" s="11" t="s">
        <v>58</v>
      </c>
      <c r="B17" s="11"/>
      <c r="C17" s="11"/>
      <c r="D17" s="11"/>
      <c r="E17" s="11"/>
      <c r="F17" s="11"/>
      <c r="G17" s="11"/>
      <c r="H17" s="11"/>
      <c r="I17" s="11"/>
      <c r="J17" s="11"/>
    </row>
    <row r="18" spans="1:10">
      <c r="A18" s="12" t="s">
        <v>67</v>
      </c>
      <c r="B18" s="27">
        <v>0.099</v>
      </c>
      <c r="C18" s="27">
        <v>0.076</v>
      </c>
      <c r="D18" s="27">
        <v>0.101</v>
      </c>
      <c r="E18" s="27">
        <v>0.105</v>
      </c>
      <c r="F18" s="27">
        <v>0.097</v>
      </c>
      <c r="G18" s="27">
        <v>0.074</v>
      </c>
      <c r="H18" s="27">
        <v>0.099</v>
      </c>
      <c r="I18" s="27">
        <v>0.103</v>
      </c>
      <c r="J18" s="27">
        <v>0.095</v>
      </c>
    </row>
    <row r="19" spans="1:10">
      <c r="A19" s="12" t="s">
        <v>68</v>
      </c>
      <c r="B19" s="27">
        <v>0.065</v>
      </c>
      <c r="C19" s="27">
        <v>0.051</v>
      </c>
      <c r="D19" s="27">
        <v>0.066</v>
      </c>
      <c r="E19" s="27">
        <v>0.066</v>
      </c>
      <c r="F19" s="27">
        <v>0.064</v>
      </c>
      <c r="G19" s="27">
        <v>0.05</v>
      </c>
      <c r="H19" s="27">
        <v>0.065</v>
      </c>
      <c r="I19" s="27">
        <v>0.065</v>
      </c>
      <c r="J19" s="27">
        <v>0.063</v>
      </c>
    </row>
    <row r="20" spans="1:10">
      <c r="A20" s="12" t="s">
        <v>70</v>
      </c>
      <c r="B20" s="27">
        <v>0.003</v>
      </c>
      <c r="C20" s="27">
        <v>0.001</v>
      </c>
      <c r="D20" s="27">
        <v>-0.001</v>
      </c>
      <c r="E20" s="27">
        <v>0.004</v>
      </c>
      <c r="F20" s="27">
        <v>0.003</v>
      </c>
      <c r="G20" s="27">
        <v>0.001</v>
      </c>
      <c r="H20" s="27">
        <v>-0.001</v>
      </c>
      <c r="I20" s="27">
        <v>0.004</v>
      </c>
      <c r="J20" s="27">
        <v>0.003</v>
      </c>
    </row>
    <row r="21" spans="1:10">
      <c r="A21" s="12" t="s">
        <v>69</v>
      </c>
      <c r="B21" s="27">
        <v>0.178</v>
      </c>
      <c r="C21" s="27">
        <v>0.177</v>
      </c>
      <c r="D21" s="27">
        <v>0.177</v>
      </c>
      <c r="E21" s="27">
        <v>0.177</v>
      </c>
      <c r="F21" s="27">
        <v>0.177</v>
      </c>
      <c r="G21" s="27">
        <v>0.177</v>
      </c>
      <c r="H21" s="27">
        <v>0.177</v>
      </c>
      <c r="I21" s="27">
        <v>0.177</v>
      </c>
      <c r="J21" s="27">
        <v>0.177</v>
      </c>
    </row>
    <row r="22" spans="1:10">
      <c r="A22" s="11" t="s">
        <v>59</v>
      </c>
      <c r="B22" s="11"/>
      <c r="C22" s="11"/>
      <c r="D22" s="11"/>
      <c r="E22" s="11"/>
      <c r="F22" s="11"/>
      <c r="G22" s="11"/>
      <c r="H22" s="11"/>
      <c r="I22" s="11"/>
      <c r="J22" s="11"/>
    </row>
    <row r="23" spans="1:10">
      <c r="A23" s="12" t="s">
        <v>71</v>
      </c>
      <c r="B23" s="27">
        <v>-0.004</v>
      </c>
      <c r="C23" s="27">
        <v>-0.004</v>
      </c>
      <c r="D23" s="27">
        <v>-0.004</v>
      </c>
      <c r="E23" s="27">
        <v>-0.004</v>
      </c>
      <c r="F23" s="27">
        <v>-0.004</v>
      </c>
      <c r="G23" s="27">
        <v>-0.004</v>
      </c>
      <c r="H23" s="27">
        <v>-0.004</v>
      </c>
      <c r="I23" s="27">
        <v>-0.004</v>
      </c>
      <c r="J23" s="27">
        <v>-0.004</v>
      </c>
    </row>
  </sheetData>
  <mergeCells count="7">
    <mergeCell ref="A1:J1"/>
    <mergeCell ref="A2:J2"/>
    <mergeCell ref="A3:J3"/>
    <mergeCell ref="A8:J8"/>
    <mergeCell ref="A14:J14"/>
    <mergeCell ref="A17:J17"/>
    <mergeCell ref="A22:J2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20"/>
  <sheetViews>
    <sheetView showGridLines="0"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40.7109375" customWidth="1"/>
    <col min="2" max="9" width="11.7109375" customWidth="1"/>
  </cols>
  <sheetData>
    <row r="1" spans="1:9">
      <c r="A1" s="1" t="s">
        <v>0</v>
      </c>
      <c r="B1" s="1"/>
      <c r="C1" s="1"/>
      <c r="D1" s="1"/>
      <c r="E1" s="1"/>
      <c r="F1" s="1"/>
      <c r="G1" s="1"/>
      <c r="H1" s="1"/>
      <c r="I1" s="1"/>
    </row>
    <row r="2" spans="1:9">
      <c r="A2" s="2" t="s">
        <v>1</v>
      </c>
      <c r="B2" s="2"/>
      <c r="C2" s="2"/>
      <c r="D2" s="2"/>
      <c r="E2" s="2"/>
      <c r="F2" s="2"/>
      <c r="G2" s="2"/>
      <c r="H2" s="2"/>
      <c r="I2" s="2"/>
    </row>
    <row r="4" spans="1:9">
      <c r="A4" s="3" t="s">
        <v>2</v>
      </c>
      <c r="B4" s="5" t="s">
        <v>3</v>
      </c>
      <c r="C4" s="5" t="s">
        <v>6</v>
      </c>
      <c r="D4" s="5" t="s">
        <v>8</v>
      </c>
      <c r="E4" s="5" t="s">
        <v>10</v>
      </c>
      <c r="F4" s="5" t="s">
        <v>12</v>
      </c>
      <c r="G4" s="5" t="s">
        <v>14</v>
      </c>
      <c r="H4" s="5" t="s">
        <v>16</v>
      </c>
      <c r="I4" s="5" t="s">
        <v>18</v>
      </c>
    </row>
    <row r="5" spans="1:9">
      <c r="A5" s="7"/>
      <c r="B5" s="7" t="s">
        <v>4</v>
      </c>
      <c r="C5" s="7" t="s">
        <v>7</v>
      </c>
      <c r="D5" s="7" t="s">
        <v>9</v>
      </c>
      <c r="E5" s="7" t="s">
        <v>11</v>
      </c>
      <c r="F5" s="7" t="s">
        <v>13</v>
      </c>
      <c r="G5" s="7" t="s">
        <v>15</v>
      </c>
      <c r="H5" s="7" t="s">
        <v>17</v>
      </c>
      <c r="I5" s="7" t="s">
        <v>19</v>
      </c>
    </row>
    <row r="6" spans="1:9">
      <c r="A6" s="8"/>
      <c r="B6" s="8" t="s">
        <v>5</v>
      </c>
      <c r="C6" s="8" t="s">
        <v>5</v>
      </c>
      <c r="D6" s="8" t="s">
        <v>5</v>
      </c>
      <c r="E6" s="8" t="s">
        <v>5</v>
      </c>
      <c r="F6" s="8" t="s">
        <v>5</v>
      </c>
      <c r="G6" s="8" t="s">
        <v>5</v>
      </c>
      <c r="H6" s="8" t="s">
        <v>5</v>
      </c>
      <c r="I6" s="8" t="s">
        <v>5</v>
      </c>
    </row>
    <row r="7" spans="1:9">
      <c r="A7" s="11" t="s">
        <v>20</v>
      </c>
      <c r="B7" s="11"/>
      <c r="C7" s="11"/>
      <c r="D7" s="11"/>
      <c r="E7" s="11"/>
      <c r="F7" s="11"/>
      <c r="G7" s="11"/>
      <c r="H7" s="11"/>
      <c r="I7" s="11"/>
    </row>
    <row r="8" spans="1:9">
      <c r="A8" s="12" t="s">
        <v>21</v>
      </c>
      <c r="B8" s="28">
        <v>201183</v>
      </c>
      <c r="C8" s="28">
        <v>69138</v>
      </c>
      <c r="D8" s="28">
        <v>46841</v>
      </c>
      <c r="E8" s="28">
        <v>44582</v>
      </c>
      <c r="F8" s="28">
        <v>49025</v>
      </c>
      <c r="G8" s="28">
        <v>85269</v>
      </c>
      <c r="H8" s="28">
        <v>56994</v>
      </c>
      <c r="I8" s="28">
        <v>54252</v>
      </c>
    </row>
    <row r="9" spans="1:9">
      <c r="A9" s="12" t="s">
        <v>22</v>
      </c>
      <c r="B9" s="28">
        <v>29984</v>
      </c>
      <c r="C9" s="28">
        <v>8987</v>
      </c>
      <c r="D9" s="28">
        <v>7949</v>
      </c>
      <c r="E9" s="28">
        <v>8046</v>
      </c>
      <c r="F9" s="28">
        <v>8726</v>
      </c>
      <c r="G9" s="28">
        <v>8386</v>
      </c>
      <c r="H9" s="28">
        <v>8399</v>
      </c>
      <c r="I9" s="28">
        <v>10352</v>
      </c>
    </row>
    <row r="10" spans="1:9">
      <c r="A10" s="12" t="s">
        <v>23</v>
      </c>
      <c r="B10" s="28">
        <v>26694</v>
      </c>
      <c r="C10" s="28">
        <v>8088</v>
      </c>
      <c r="D10" s="28">
        <v>6402</v>
      </c>
      <c r="E10" s="28">
        <v>6581</v>
      </c>
      <c r="F10" s="28">
        <v>6952</v>
      </c>
      <c r="G10" s="28">
        <v>8595</v>
      </c>
      <c r="H10" s="28">
        <v>6914</v>
      </c>
      <c r="I10" s="28">
        <v>6191</v>
      </c>
    </row>
    <row r="11" spans="1:9">
      <c r="A11" s="12" t="s">
        <v>24</v>
      </c>
      <c r="B11" s="28">
        <v>37005</v>
      </c>
      <c r="C11" s="28">
        <v>11747</v>
      </c>
      <c r="D11" s="28">
        <v>7522</v>
      </c>
      <c r="E11" s="28">
        <v>7404</v>
      </c>
      <c r="F11" s="28">
        <v>9013</v>
      </c>
      <c r="G11" s="28">
        <v>11493</v>
      </c>
      <c r="H11" s="28">
        <v>7901</v>
      </c>
      <c r="I11" s="28">
        <v>7883</v>
      </c>
    </row>
    <row r="12" spans="1:9">
      <c r="A12" s="12" t="s">
        <v>25</v>
      </c>
      <c r="B12" s="28">
        <v>96169</v>
      </c>
      <c r="C12" s="28">
        <v>26340</v>
      </c>
      <c r="D12" s="28">
        <v>26645</v>
      </c>
      <c r="E12" s="28">
        <v>27423</v>
      </c>
      <c r="F12" s="28">
        <v>28750</v>
      </c>
      <c r="G12" s="28">
        <v>30013</v>
      </c>
      <c r="H12" s="28">
        <v>30976</v>
      </c>
      <c r="I12" s="28">
        <v>30739</v>
      </c>
    </row>
    <row r="13" spans="1:9">
      <c r="A13" s="12" t="s">
        <v>26</v>
      </c>
      <c r="B13" s="28">
        <v>185233</v>
      </c>
      <c r="C13" s="28">
        <v>59447</v>
      </c>
      <c r="D13" s="28">
        <v>44030</v>
      </c>
      <c r="E13" s="28">
        <v>43620</v>
      </c>
      <c r="F13" s="28">
        <v>47019</v>
      </c>
      <c r="G13" s="28">
        <v>67478</v>
      </c>
      <c r="H13" s="28">
        <v>49179</v>
      </c>
      <c r="I13" s="28">
        <v>47153</v>
      </c>
    </row>
    <row r="14" spans="1:9">
      <c r="A14" s="12" t="s">
        <v>27</v>
      </c>
      <c r="B14" s="28">
        <v>25119</v>
      </c>
      <c r="C14" s="28">
        <v>6578</v>
      </c>
      <c r="D14" s="28">
        <v>6462</v>
      </c>
      <c r="E14" s="28">
        <v>6698</v>
      </c>
      <c r="F14" s="28">
        <v>7106</v>
      </c>
      <c r="G14" s="28">
        <v>7047</v>
      </c>
      <c r="H14" s="28">
        <v>7224</v>
      </c>
      <c r="I14" s="28">
        <v>7494</v>
      </c>
    </row>
    <row r="15" spans="1:9">
      <c r="A15" s="12" t="s">
        <v>28</v>
      </c>
      <c r="B15" s="28">
        <v>31370</v>
      </c>
      <c r="C15" s="28">
        <v>8268</v>
      </c>
      <c r="D15" s="28">
        <v>8550</v>
      </c>
      <c r="E15" s="28">
        <v>8866</v>
      </c>
      <c r="F15" s="28">
        <v>8866</v>
      </c>
      <c r="G15" s="28">
        <v>10887</v>
      </c>
      <c r="H15" s="28">
        <v>11419</v>
      </c>
      <c r="I15" s="28">
        <v>11729</v>
      </c>
    </row>
    <row r="16" spans="1:9">
      <c r="A16" s="12" t="s">
        <v>29</v>
      </c>
      <c r="B16" s="28">
        <v>26097</v>
      </c>
      <c r="C16" s="28">
        <v>7175</v>
      </c>
      <c r="D16" s="28">
        <v>6728</v>
      </c>
      <c r="E16" s="28">
        <v>6650</v>
      </c>
      <c r="F16" s="28">
        <v>7048</v>
      </c>
      <c r="G16" s="28">
        <v>7492</v>
      </c>
      <c r="H16" s="28">
        <v>7477</v>
      </c>
      <c r="I16" s="28">
        <v>7346</v>
      </c>
    </row>
    <row r="17" spans="1:9">
      <c r="A17" s="12" t="s">
        <v>30</v>
      </c>
      <c r="B17" s="28">
        <v>269</v>
      </c>
      <c r="C17" s="28">
        <v>-248</v>
      </c>
      <c r="D17" s="28">
        <v>-279</v>
      </c>
      <c r="E17" s="28">
        <v>-171</v>
      </c>
      <c r="F17" s="28">
        <v>377</v>
      </c>
      <c r="G17" s="28">
        <v>150</v>
      </c>
      <c r="H17" s="28">
        <v>-52</v>
      </c>
      <c r="I17" s="28">
        <v>572</v>
      </c>
    </row>
    <row r="18" spans="1:9">
      <c r="A18" s="12" t="s">
        <v>31</v>
      </c>
      <c r="B18" s="28">
        <v>29749</v>
      </c>
      <c r="C18" s="28">
        <v>6254</v>
      </c>
      <c r="D18" s="28">
        <v>4530</v>
      </c>
      <c r="E18" s="28">
        <v>4597</v>
      </c>
      <c r="F18" s="28">
        <v>5338</v>
      </c>
      <c r="G18" s="28">
        <v>8905</v>
      </c>
      <c r="H18" s="28">
        <v>6255</v>
      </c>
      <c r="I18" s="28">
        <v>6478</v>
      </c>
    </row>
    <row r="19" spans="1:9">
      <c r="A19" s="12" t="s">
        <v>32</v>
      </c>
      <c r="B19" s="29">
        <v>15343.783</v>
      </c>
      <c r="C19" s="29">
        <v>15081.724</v>
      </c>
      <c r="D19" s="29">
        <v>14994.082</v>
      </c>
      <c r="E19" s="29">
        <v>14902.886</v>
      </c>
      <c r="F19" s="29">
        <v>14815.307</v>
      </c>
      <c r="G19" s="29">
        <v>14748.158</v>
      </c>
      <c r="H19" s="29">
        <v>14673.278</v>
      </c>
      <c r="I19" s="29">
        <v>14656.11</v>
      </c>
    </row>
    <row r="20" spans="1:9">
      <c r="A20" s="12" t="s">
        <v>33</v>
      </c>
      <c r="B20" s="29">
        <v>15408.095</v>
      </c>
      <c r="C20" s="29">
        <v>15150.865</v>
      </c>
      <c r="D20" s="29">
        <v>15056.133</v>
      </c>
      <c r="E20" s="29">
        <v>14948.179</v>
      </c>
      <c r="F20" s="29">
        <v>14863.609</v>
      </c>
      <c r="G20" s="29">
        <v>14810.356</v>
      </c>
      <c r="H20" s="29">
        <v>14725.873</v>
      </c>
      <c r="I20" s="29">
        <v>14714.676</v>
      </c>
    </row>
  </sheetData>
  <mergeCells count="3">
    <mergeCell ref="A1:I1"/>
    <mergeCell ref="A2:I2"/>
    <mergeCell ref="A7:I7"/>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19"/>
  <sheetViews>
    <sheetView showGridLines="0" workbookViewId="0"/>
  </sheetViews>
  <sheetFormatPr defaultRowHeight="15"/>
  <cols>
    <col min="1" max="1" width="110.7109375" customWidth="1"/>
  </cols>
  <sheetData>
    <row r="1" spans="1:1">
      <c r="A1" s="1" t="s">
        <v>106</v>
      </c>
    </row>
    <row r="3" spans="1:1">
      <c r="A3" s="30" t="s">
        <v>107</v>
      </c>
    </row>
    <row r="4" spans="1:1">
      <c r="A4" s="31" t="s">
        <v>108</v>
      </c>
    </row>
    <row r="6" spans="1:1">
      <c r="A6" s="30" t="s">
        <v>109</v>
      </c>
    </row>
    <row r="7" spans="1:1">
      <c r="A7" s="31" t="s">
        <v>110</v>
      </c>
    </row>
    <row r="9" spans="1:1">
      <c r="A9" s="30" t="s">
        <v>111</v>
      </c>
    </row>
    <row r="10" spans="1:1">
      <c r="A10" s="31" t="s">
        <v>112</v>
      </c>
    </row>
    <row r="12" spans="1:1">
      <c r="A12" s="30" t="s">
        <v>113</v>
      </c>
    </row>
    <row r="13" spans="1:1">
      <c r="A13" s="31" t="s">
        <v>114</v>
      </c>
    </row>
    <row r="15" spans="1:1">
      <c r="A15" s="30" t="s">
        <v>115</v>
      </c>
    </row>
    <row r="16" spans="1:1">
      <c r="A16" s="31" t="s">
        <v>116</v>
      </c>
    </row>
    <row r="18" spans="1:1">
      <c r="A18" s="30" t="s">
        <v>117</v>
      </c>
    </row>
    <row r="19" spans="1:1">
      <c r="A19" s="31" t="s">
        <v>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Income Statement</vt:lpstr>
      <vt:lpstr>Assumptions</vt:lpstr>
      <vt:lpstr>Historical Data</vt:lpstr>
      <vt:lpstr>Notes &amp; Sources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Apple Inc. (AAPL) Income Statement Forecast FY2026-FY2028</dc:title>
  <dc:subject>Quarterly income statement model with actuals through FY26 Q3 and forecast thereafter</dc:subject>
  <dc:creator>Claude</dc:creator>
  <dc:description>Historical data sourced from SEC Form 8-K/10-K filings. Forecast periods are model estimates, not official company guidance except where noted.</dc:description>
  <cp:lastModifiedBy>Claude</cp:lastModifiedBy>
  <dcterms:created xsi:type="dcterms:W3CDTF">2026-08-17T17:20:10Z</dcterms:created>
  <dcterms:modified xsi:type="dcterms:W3CDTF">2026-08-17T17:20:10Z</dcterms:modified>
</cp:coreProperties>
</file>