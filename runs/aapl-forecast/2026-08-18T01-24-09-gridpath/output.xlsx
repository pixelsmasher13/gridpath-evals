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#,##0;(#,##0);-"/>
    <numFmt numFmtId="166" formatCode="0.0%;(0.0%);-"/>
    <numFmt numFmtId="167" formatCode="$#,##0.00;($#,##0.00)"/>
    <numFmt numFmtId="168" formatCode="#,##0.0"/>
  </numFmts>
  <fonts x14ac:knownFonts="1" count="11">
    <font>
      <color theme="1"/>
      <family val="2"/>
      <scheme val="minor"/>
      <sz val="11"/>
      <name val="Calibri"/>
    </font>
    <font>
      <b/>
      <family val="2"/>
      <scheme val="minor"/>
      <name val="Calibri"/>
      <color rgb="FFFFFFFF"/>
      <sz val="14"/>
    </font>
    <font>
      <i/>
      <family val="2"/>
      <scheme val="minor"/>
      <name val="Calibri"/>
      <color rgb="FF555555"/>
      <sz val="9"/>
    </font>
    <font>
      <b/>
      <color theme="1"/>
      <family val="2"/>
      <scheme val="minor"/>
      <name val="Calibri"/>
      <sz val="10"/>
    </font>
    <font>
      <i/>
      <color theme="1"/>
      <family val="2"/>
      <scheme val="minor"/>
      <name val="Calibri"/>
      <sz val="10"/>
    </font>
    <font>
      <family val="2"/>
      <scheme val="minor"/>
      <sz val="11"/>
      <name val="Calibri"/>
      <color rgb="FF0000FF"/>
    </font>
    <font>
      <b/>
      <family val="2"/>
      <scheme val="minor"/>
      <sz val="11"/>
      <name val="Calibri"/>
      <color rgb="FFFFFFFF"/>
    </font>
    <font>
      <i/>
      <b/>
      <family val="2"/>
      <scheme val="minor"/>
      <sz val="11"/>
      <name val="Calibri"/>
      <color rgb="FFFFFFFF"/>
    </font>
    <font>
      <color theme="1"/>
      <family val="2"/>
      <scheme val="minor"/>
      <name val="Calibri"/>
      <sz val="10"/>
    </font>
    <font>
      <b/>
      <color theme="1"/>
      <family val="2"/>
      <scheme val="minor"/>
      <sz val="11"/>
      <name val="Calibri"/>
    </font>
    <font>
      <i/>
      <family val="2"/>
      <scheme val="minor"/>
      <name val="Calibri"/>
      <color rgb="FF777777"/>
      <sz val="8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AF1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Fill="1"/>
    <xf numFmtId="0" fontId="3" fillId="3" borderId="0" xfId="0" applyFont="1" applyFill="1"/>
    <xf numFmtId="0" fontId="4" fillId="0" borderId="0" xfId="0" applyFont="1" applyFill="1"/>
    <xf numFmtId="164" fontId="0" fillId="0" borderId="0" xfId="0" applyFill="1" applyNumberFormat="1"/>
    <xf numFmtId="164" fontId="5" fillId="0" borderId="0" xfId="0" applyFont="1" applyFill="1" applyNumberFormat="1"/>
    <xf numFmtId="0" fontId="6" fillId="2" borderId="0" xfId="0" applyFont="1" applyFill="1" applyAlignment="1">
      <alignment horizontal="center"/>
    </xf>
    <xf numFmtId="17" fontId="7" fillId="0" borderId="0" xfId="0" applyFont="1" applyFill="1" applyNumberFormat="1" applyAlignment="1">
      <alignment horizontal="center"/>
    </xf>
    <xf numFmtId="0" fontId="8" fillId="0" borderId="0" xfId="0" applyFont="1" applyFill="1"/>
    <xf numFmtId="0" fontId="3" fillId="4" borderId="0" xfId="0" applyFont="1" applyFill="1"/>
    <xf numFmtId="0" fontId="3" fillId="0" borderId="0" xfId="0" applyFont="1" applyFill="1"/>
    <xf numFmtId="165" fontId="9" fillId="0" borderId="0" xfId="0" applyFont="1" applyFill="1" applyNumberFormat="1"/>
    <xf numFmtId="165" fontId="5" fillId="0" borderId="0" xfId="0" applyFont="1" applyFill="1" applyNumberFormat="1"/>
    <xf numFmtId="165" fontId="0" fillId="0" borderId="0" xfId="0" applyFill="1" applyNumberFormat="1"/>
    <xf numFmtId="166" fontId="0" fillId="0" borderId="0" xfId="0" applyFill="1" applyNumberFormat="1"/>
    <xf numFmtId="167" fontId="0" fillId="0" borderId="0" xfId="0" applyFill="1" applyNumberFormat="1"/>
    <xf numFmtId="168" fontId="5" fillId="0" borderId="0" xfId="0" applyFont="1" applyFill="1" applyNumberFormat="1"/>
    <xf numFmtId="168" fontId="0" fillId="0" borderId="0" xfId="0" applyFill="1" applyNumberFormat="1"/>
    <xf numFmtId="0" fontId="10" fillId="0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xSplit="1" ySplit="16" topLeftCell="B17" activePane="bottomRight" state="frozen"/>
    </sheetView>
  </sheetViews>
  <sheetFormatPr defaultRowHeight="15" outlineLevelRow="0" outlineLevelCol="0" x14ac:dyDescent="55"/>
  <cols>
    <col min="1" max="1" width="37.86" customWidth="1"/>
    <col min="2" max="2" width="11" customWidth="1"/>
    <col min="3" max="3" width="11" customWidth="1"/>
    <col min="4" max="4" width="11" customWidth="1"/>
    <col min="5" max="5" width="11" customWidth="1"/>
    <col min="6" max="6" width="12.43" customWidth="1"/>
    <col min="7" max="7" width="11" customWidth="1"/>
    <col min="8" max="8" width="11" customWidth="1"/>
    <col min="9" max="9" width="11" customWidth="1"/>
    <col min="10" max="10" width="11" customWidth="1"/>
    <col min="11" max="11" width="12.43" customWidth="1"/>
    <col min="12" max="12" width="11" customWidth="1"/>
    <col min="13" max="13" width="11" customWidth="1"/>
    <col min="14" max="14" width="11" customWidth="1"/>
    <col min="15" max="15" width="11" customWidth="1"/>
    <col min="16" max="16" width="12.43" customWidth="1"/>
    <col min="17" max="17" width="11" customWidth="1"/>
    <col min="18" max="18" width="11" customWidth="1"/>
    <col min="19" max="19" width="11" customWidth="1"/>
    <col min="20" max="20" width="11" customWidth="1"/>
    <col min="21" max="21" width="12.43" customWidth="1"/>
  </cols>
  <sheetData>
    <row r="1" ht="22.51" customHeight="1">
      <c r="A1" s="1" t="inlineStr">
        <is>
          <t xml:space="preserve">Apple Inc. (AAPL) — Income Statement Forecast, FY2026E–FY2028E (Quarterly)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2.51" customHeight="1">
      <c r="A2" s="2" t="inlineStr">
        <is>
          <t xml:space="preserve">$ in millions, except per-share amounts  |  Fiscal year ends last Saturday of September  |  Historical: SEC Form 10-K/10-Q (FY2025A, FY2026 Q1-Q3 actual)  |  Forecast quarters (marked "E"): illustrative model assumptions, not company guidance or consensus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>
      <c r="A4" s="3" t="inlineStr">
        <is>
          <t xml:space="preserve">Key Forecast Assumptions (forecast quarters only — blue = editable input)</t>
        </is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4" t="inlineStr">
        <is>
          <t xml:space="preserve">Revenue YoY Growth %</t>
        </is>
      </c>
      <c r="B5" s="5"/>
      <c r="C5" s="5"/>
      <c r="D5" s="5"/>
      <c r="E5" s="5"/>
      <c r="F5" s="5"/>
      <c r="G5" s="5"/>
      <c r="H5" s="5"/>
      <c r="I5" s="5"/>
      <c r="J5" s="6">
        <v>0.15</v>
      </c>
      <c r="K5" s="5"/>
      <c r="L5" s="6">
        <v>0.11</v>
      </c>
      <c r="M5" s="6">
        <v>0.1</v>
      </c>
      <c r="N5" s="6">
        <v>0.09</v>
      </c>
      <c r="O5" s="6">
        <v>0.08</v>
      </c>
      <c r="P5" s="5"/>
      <c r="Q5" s="6">
        <v>0.08</v>
      </c>
      <c r="R5" s="6">
        <v>0.07</v>
      </c>
      <c r="S5" s="6">
        <v>0.07</v>
      </c>
      <c r="T5" s="6">
        <v>0.07</v>
      </c>
      <c r="U5" s="5"/>
    </row>
    <row r="6">
      <c r="A6" s="4" t="inlineStr">
        <is>
          <t xml:space="preserve">Services % of Total Revenue</t>
        </is>
      </c>
      <c r="B6" s="5"/>
      <c r="C6" s="5"/>
      <c r="D6" s="5"/>
      <c r="E6" s="5"/>
      <c r="F6" s="5"/>
      <c r="G6" s="5"/>
      <c r="H6" s="5"/>
      <c r="I6" s="5"/>
      <c r="J6" s="6">
        <v>0.285</v>
      </c>
      <c r="K6" s="5"/>
      <c r="L6" s="6">
        <v>0.225</v>
      </c>
      <c r="M6" s="6">
        <v>0.29</v>
      </c>
      <c r="N6" s="6">
        <v>0.292</v>
      </c>
      <c r="O6" s="6">
        <v>0.295</v>
      </c>
      <c r="P6" s="5"/>
      <c r="Q6" s="6">
        <v>0.235</v>
      </c>
      <c r="R6" s="6">
        <v>0.3</v>
      </c>
      <c r="S6" s="6">
        <v>0.302</v>
      </c>
      <c r="T6" s="6">
        <v>0.305</v>
      </c>
      <c r="U6" s="5"/>
    </row>
    <row r="7">
      <c r="A7" s="4" t="inlineStr">
        <is>
          <t xml:space="preserve">Gross Margin %</t>
        </is>
      </c>
      <c r="B7" s="5"/>
      <c r="C7" s="5"/>
      <c r="D7" s="5"/>
      <c r="E7" s="5"/>
      <c r="F7" s="5"/>
      <c r="G7" s="5"/>
      <c r="H7" s="5"/>
      <c r="I7" s="5"/>
      <c r="J7" s="6">
        <v>0.495</v>
      </c>
      <c r="K7" s="5"/>
      <c r="L7" s="6">
        <v>0.5</v>
      </c>
      <c r="M7" s="6">
        <v>0.503</v>
      </c>
      <c r="N7" s="6">
        <v>0.506</v>
      </c>
      <c r="O7" s="6">
        <v>0.508</v>
      </c>
      <c r="P7" s="5"/>
      <c r="Q7" s="6">
        <v>0.51</v>
      </c>
      <c r="R7" s="6">
        <v>0.513</v>
      </c>
      <c r="S7" s="6">
        <v>0.516</v>
      </c>
      <c r="T7" s="6">
        <v>0.518</v>
      </c>
      <c r="U7" s="5"/>
    </row>
    <row r="8">
      <c r="A8" s="4" t="inlineStr">
        <is>
          <t xml:space="preserve">R&amp;D % of Revenue</t>
        </is>
      </c>
      <c r="B8" s="5"/>
      <c r="C8" s="5"/>
      <c r="D8" s="5"/>
      <c r="E8" s="5"/>
      <c r="F8" s="5"/>
      <c r="G8" s="5"/>
      <c r="H8" s="5"/>
      <c r="I8" s="5"/>
      <c r="J8" s="6">
        <v>0.108</v>
      </c>
      <c r="K8" s="5"/>
      <c r="L8" s="6">
        <v>0.11</v>
      </c>
      <c r="M8" s="6">
        <v>0.113</v>
      </c>
      <c r="N8" s="6">
        <v>0.115</v>
      </c>
      <c r="O8" s="6">
        <v>0.112</v>
      </c>
      <c r="P8" s="5"/>
      <c r="Q8" s="6">
        <v>0.112</v>
      </c>
      <c r="R8" s="6">
        <v>0.115</v>
      </c>
      <c r="S8" s="6">
        <v>0.117</v>
      </c>
      <c r="T8" s="6">
        <v>0.114</v>
      </c>
      <c r="U8" s="5"/>
    </row>
    <row r="9">
      <c r="A9" s="4" t="inlineStr">
        <is>
          <t xml:space="preserve">SG&amp;A % of Revenue</t>
        </is>
      </c>
      <c r="B9" s="5"/>
      <c r="C9" s="5"/>
      <c r="D9" s="5"/>
      <c r="E9" s="5"/>
      <c r="F9" s="5"/>
      <c r="G9" s="5"/>
      <c r="H9" s="5"/>
      <c r="I9" s="5"/>
      <c r="J9" s="6">
        <v>0.068</v>
      </c>
      <c r="K9" s="5"/>
      <c r="L9" s="6">
        <v>0.062</v>
      </c>
      <c r="M9" s="6">
        <v>0.068</v>
      </c>
      <c r="N9" s="6">
        <v>0.067</v>
      </c>
      <c r="O9" s="6">
        <v>0.069</v>
      </c>
      <c r="P9" s="5"/>
      <c r="Q9" s="6">
        <v>0.061</v>
      </c>
      <c r="R9" s="6">
        <v>0.067</v>
      </c>
      <c r="S9" s="6">
        <v>0.066</v>
      </c>
      <c r="T9" s="6">
        <v>0.068</v>
      </c>
      <c r="U9" s="5"/>
    </row>
    <row r="10">
      <c r="A10" s="4" t="inlineStr">
        <is>
          <t xml:space="preserve">Other Income/(Expense) % of Revenue</t>
        </is>
      </c>
      <c r="B10" s="5"/>
      <c r="C10" s="5"/>
      <c r="D10" s="5"/>
      <c r="E10" s="5"/>
      <c r="F10" s="5"/>
      <c r="G10" s="5"/>
      <c r="H10" s="5"/>
      <c r="I10" s="5"/>
      <c r="J10" s="6">
        <v>0.003</v>
      </c>
      <c r="K10" s="5"/>
      <c r="L10" s="6">
        <v>0.003</v>
      </c>
      <c r="M10" s="6">
        <v>0.003</v>
      </c>
      <c r="N10" s="6">
        <v>0.003</v>
      </c>
      <c r="O10" s="6">
        <v>0.003</v>
      </c>
      <c r="P10" s="5"/>
      <c r="Q10" s="6">
        <v>0.003</v>
      </c>
      <c r="R10" s="6">
        <v>0.003</v>
      </c>
      <c r="S10" s="6">
        <v>0.003</v>
      </c>
      <c r="T10" s="6">
        <v>0.003</v>
      </c>
      <c r="U10" s="5"/>
    </row>
    <row r="11">
      <c r="A11" s="4" t="inlineStr">
        <is>
          <t xml:space="preserve">Effective Tax Rate %</t>
        </is>
      </c>
      <c r="B11" s="5"/>
      <c r="C11" s="5"/>
      <c r="D11" s="5"/>
      <c r="E11" s="5"/>
      <c r="F11" s="5"/>
      <c r="G11" s="5"/>
      <c r="H11" s="5"/>
      <c r="I11" s="5"/>
      <c r="J11" s="6">
        <v>0.175</v>
      </c>
      <c r="K11" s="5"/>
      <c r="L11" s="6">
        <v>0.175</v>
      </c>
      <c r="M11" s="6">
        <v>0.175</v>
      </c>
      <c r="N11" s="6">
        <v>0.175</v>
      </c>
      <c r="O11" s="6">
        <v>0.175</v>
      </c>
      <c r="P11" s="5"/>
      <c r="Q11" s="6">
        <v>0.175</v>
      </c>
      <c r="R11" s="6">
        <v>0.175</v>
      </c>
      <c r="S11" s="6">
        <v>0.175</v>
      </c>
      <c r="T11" s="6">
        <v>0.175</v>
      </c>
      <c r="U11" s="5"/>
    </row>
    <row r="12">
      <c r="A12" s="4" t="inlineStr">
        <is>
          <t xml:space="preserve">Diluted Shares Outstanding YoY Change %</t>
        </is>
      </c>
      <c r="B12" s="5"/>
      <c r="C12" s="5"/>
      <c r="D12" s="5"/>
      <c r="E12" s="5"/>
      <c r="F12" s="5"/>
      <c r="G12" s="5"/>
      <c r="H12" s="5"/>
      <c r="I12" s="5"/>
      <c r="J12" s="6">
        <v>-0.025</v>
      </c>
      <c r="K12" s="5"/>
      <c r="L12" s="6">
        <v>-0.025</v>
      </c>
      <c r="M12" s="6">
        <v>-0.025</v>
      </c>
      <c r="N12" s="6">
        <v>-0.025</v>
      </c>
      <c r="O12" s="6">
        <v>-0.025</v>
      </c>
      <c r="P12" s="5"/>
      <c r="Q12" s="6">
        <v>-0.025</v>
      </c>
      <c r="R12" s="6">
        <v>-0.025</v>
      </c>
      <c r="S12" s="6">
        <v>-0.025</v>
      </c>
      <c r="T12" s="6">
        <v>-0.025</v>
      </c>
      <c r="U12" s="5"/>
    </row>
    <row r="15">
      <c r="A15" s="7" t="inlineStr">
        <is>
          <t xml:space="preserve">Fiscal Quarter</t>
        </is>
      </c>
      <c r="B15" s="7" t="inlineStr">
        <is>
          <t xml:space="preserve">Q1 FY25</t>
        </is>
      </c>
      <c r="C15" s="7" t="inlineStr">
        <is>
          <t xml:space="preserve">Q2 FY25</t>
        </is>
      </c>
      <c r="D15" s="7" t="inlineStr">
        <is>
          <t xml:space="preserve">Q3 FY25</t>
        </is>
      </c>
      <c r="E15" s="7" t="inlineStr">
        <is>
          <t xml:space="preserve">Q4 FY25</t>
        </is>
      </c>
      <c r="F15" s="7" t="inlineStr">
        <is>
          <t xml:space="preserve">FY2025A</t>
        </is>
      </c>
      <c r="G15" s="7" t="inlineStr">
        <is>
          <t xml:space="preserve">Q1 FY26</t>
        </is>
      </c>
      <c r="H15" s="7" t="inlineStr">
        <is>
          <t xml:space="preserve">Q2 FY26</t>
        </is>
      </c>
      <c r="I15" s="7" t="inlineStr">
        <is>
          <t xml:space="preserve">Q3 FY26</t>
        </is>
      </c>
      <c r="J15" s="7" t="inlineStr">
        <is>
          <t xml:space="preserve">Q4 FY26E</t>
        </is>
      </c>
      <c r="K15" s="7" t="inlineStr">
        <is>
          <t xml:space="preserve">FY2026E</t>
        </is>
      </c>
      <c r="L15" s="7" t="inlineStr">
        <is>
          <t xml:space="preserve">Q1 FY27E</t>
        </is>
      </c>
      <c r="M15" s="7" t="inlineStr">
        <is>
          <t xml:space="preserve">Q2 FY27E</t>
        </is>
      </c>
      <c r="N15" s="7" t="inlineStr">
        <is>
          <t xml:space="preserve">Q3 FY27E</t>
        </is>
      </c>
      <c r="O15" s="7" t="inlineStr">
        <is>
          <t xml:space="preserve">Q4 FY27E</t>
        </is>
      </c>
      <c r="P15" s="7" t="inlineStr">
        <is>
          <t xml:space="preserve">FY2027E</t>
        </is>
      </c>
      <c r="Q15" s="7" t="inlineStr">
        <is>
          <t xml:space="preserve">Q1 FY28E</t>
        </is>
      </c>
      <c r="R15" s="7" t="inlineStr">
        <is>
          <t xml:space="preserve">Q2 FY28E</t>
        </is>
      </c>
      <c r="S15" s="7" t="inlineStr">
        <is>
          <t xml:space="preserve">Q3 FY28E</t>
        </is>
      </c>
      <c r="T15" s="7" t="inlineStr">
        <is>
          <t xml:space="preserve">Q4 FY28E</t>
        </is>
      </c>
      <c r="U15" s="7" t="inlineStr">
        <is>
          <t xml:space="preserve">FY2028E</t>
        </is>
      </c>
    </row>
    <row r="16">
      <c r="A16" s="7" t="inlineStr">
        <is>
          <t xml:space="preserve">Period End</t>
        </is>
      </c>
      <c r="B16" s="8">
        <v>45627</v>
      </c>
      <c r="C16" s="8">
        <v>45717</v>
      </c>
      <c r="D16" s="8">
        <v>45809</v>
      </c>
      <c r="E16" s="8">
        <v>45901</v>
      </c>
      <c r="F16" s="8" t="inlineStr">
        <is>
          <t xml:space="preserve">Full Year</t>
        </is>
      </c>
      <c r="G16" s="8">
        <v>45992</v>
      </c>
      <c r="H16" s="8">
        <v>46082</v>
      </c>
      <c r="I16" s="8">
        <v>46174</v>
      </c>
      <c r="J16" s="8" t="inlineStr">
        <is>
          <t xml:space="preserve">Sep-26E</t>
        </is>
      </c>
      <c r="K16" s="8" t="inlineStr">
        <is>
          <t xml:space="preserve">Full Year</t>
        </is>
      </c>
      <c r="L16" s="8" t="inlineStr">
        <is>
          <t xml:space="preserve">Dec-26E</t>
        </is>
      </c>
      <c r="M16" s="8" t="inlineStr">
        <is>
          <t xml:space="preserve">Mar-27E</t>
        </is>
      </c>
      <c r="N16" s="8" t="inlineStr">
        <is>
          <t xml:space="preserve">Jun-27E</t>
        </is>
      </c>
      <c r="O16" s="8" t="inlineStr">
        <is>
          <t xml:space="preserve">Sep-27E</t>
        </is>
      </c>
      <c r="P16" s="8" t="inlineStr">
        <is>
          <t xml:space="preserve">Full Year</t>
        </is>
      </c>
      <c r="Q16" s="8" t="inlineStr">
        <is>
          <t xml:space="preserve">Dec-27E</t>
        </is>
      </c>
      <c r="R16" s="8" t="inlineStr">
        <is>
          <t xml:space="preserve">Mar-28E</t>
        </is>
      </c>
      <c r="S16" s="8" t="inlineStr">
        <is>
          <t xml:space="preserve">Jun-28E</t>
        </is>
      </c>
      <c r="T16" s="8" t="inlineStr">
        <is>
          <t xml:space="preserve">Sep-28E</t>
        </is>
      </c>
      <c r="U16" s="8" t="inlineStr">
        <is>
          <t xml:space="preserve">Full Year</t>
        </is>
      </c>
    </row>
    <row r="18">
      <c r="A18" s="9" t="inlineStr">
        <is>
          <t xml:space="preserve">Net Sales — Products</t>
        </is>
      </c>
      <c r="B18" s="13">
        <v>97960</v>
      </c>
      <c r="C18" s="13">
        <v>68714</v>
      </c>
      <c r="D18" s="13">
        <v>66613</v>
      </c>
      <c r="E18" s="13">
        <v>73716</v>
      </c>
      <c r="F18" s="14">
        <f>B18+C18+D18+E18</f>
        <v>307003</v>
      </c>
      <c r="G18" s="13">
        <v>113743</v>
      </c>
      <c r="H18" s="13">
        <v>80200</v>
      </c>
      <c r="I18" s="13">
        <v>78678</v>
      </c>
      <c r="J18" s="14">
        <f>J20-J19</f>
        <v>84252.6685</v>
      </c>
      <c r="K18" s="14">
        <f>G18+H18+I18+J18</f>
        <v>356873.6685</v>
      </c>
      <c r="L18" s="14">
        <f>L20-L19</f>
        <v>123666.099</v>
      </c>
      <c r="M18" s="14">
        <f>M20-M19</f>
        <v>86834.704</v>
      </c>
      <c r="N18" s="14">
        <f>N20-N19</f>
        <v>84439.28724</v>
      </c>
      <c r="O18" s="14">
        <f>O20-O19</f>
        <v>89720.25426</v>
      </c>
      <c r="P18" s="14">
        <f>L18+M18+N18+O18</f>
        <v>384660.34450000006</v>
      </c>
      <c r="Q18" s="14">
        <f>Q20-Q19</f>
        <v>131836.03999200003</v>
      </c>
      <c r="R18" s="14">
        <f>R20-R19</f>
        <v>91604.4976</v>
      </c>
      <c r="S18" s="14">
        <f>S20-S19</f>
        <v>89073.90687580002</v>
      </c>
      <c r="T18" s="14">
        <f>T20-T19</f>
        <v>94638.9603978</v>
      </c>
      <c r="U18" s="14">
        <f>Q18+R18+S18+T18</f>
        <v>407153.4048656001</v>
      </c>
    </row>
    <row r="19">
      <c r="A19" s="9" t="inlineStr">
        <is>
          <t xml:space="preserve">Net Sales — Services</t>
        </is>
      </c>
      <c r="B19" s="13">
        <v>26340</v>
      </c>
      <c r="C19" s="13">
        <v>26645</v>
      </c>
      <c r="D19" s="13">
        <v>27423</v>
      </c>
      <c r="E19" s="13">
        <v>28750</v>
      </c>
      <c r="F19" s="14">
        <f>B19+C19+D19+E19</f>
        <v>109158</v>
      </c>
      <c r="G19" s="13">
        <v>30013</v>
      </c>
      <c r="H19" s="13">
        <v>30984</v>
      </c>
      <c r="I19" s="13">
        <v>30739</v>
      </c>
      <c r="J19" s="14">
        <f>J20*J6</f>
        <v>33583.231499999994</v>
      </c>
      <c r="K19" s="14">
        <f>G19+H19+I19+J19</f>
        <v>125319.2315</v>
      </c>
      <c r="L19" s="14">
        <f>L20*L6</f>
        <v>35903.061</v>
      </c>
      <c r="M19" s="14">
        <f>M20*M6</f>
        <v>35467.696</v>
      </c>
      <c r="N19" s="14">
        <f>N20*N6</f>
        <v>34825.24276</v>
      </c>
      <c r="O19" s="14">
        <f>O20*O6</f>
        <v>37542.51774</v>
      </c>
      <c r="P19" s="14">
        <f>L19+M19+N19+O19</f>
        <v>143738.51750000002</v>
      </c>
      <c r="Q19" s="14">
        <f>Q20*Q6</f>
        <v>40498.652808</v>
      </c>
      <c r="R19" s="14">
        <f>R20*R6</f>
        <v>39259.0704</v>
      </c>
      <c r="S19" s="14">
        <f>S20*S6</f>
        <v>38539.1402242</v>
      </c>
      <c r="T19" s="14">
        <f>T20*T6</f>
        <v>41532.2056422</v>
      </c>
      <c r="U19" s="14">
        <f>Q19+R19+S19+T19</f>
        <v>159829.0690744</v>
      </c>
    </row>
    <row r="20">
      <c r="A20" s="10" t="inlineStr">
        <is>
          <t xml:space="preserve">Total Net Sales</t>
        </is>
      </c>
      <c r="B20" s="12">
        <f>B18+B19</f>
        <v>124300</v>
      </c>
      <c r="C20" s="12">
        <f>C18+C19</f>
        <v>95359</v>
      </c>
      <c r="D20" s="12">
        <f>D18+D19</f>
        <v>94036</v>
      </c>
      <c r="E20" s="12">
        <f>E18+E19</f>
        <v>102466</v>
      </c>
      <c r="F20" s="12">
        <f>B20+C20+D20+E20</f>
        <v>416161</v>
      </c>
      <c r="G20" s="12">
        <f>G18+G19</f>
        <v>143756</v>
      </c>
      <c r="H20" s="12">
        <f>H18+H19</f>
        <v>111184</v>
      </c>
      <c r="I20" s="12">
        <f>I18+I19</f>
        <v>109417</v>
      </c>
      <c r="J20" s="12">
        <f>E20*(1+J5)</f>
        <v>117835.9</v>
      </c>
      <c r="K20" s="12">
        <f>G20+H20+I20+J20</f>
        <v>482192.9</v>
      </c>
      <c r="L20" s="12">
        <f>G20*(1+L5)</f>
        <v>159569.16</v>
      </c>
      <c r="M20" s="12">
        <f>H20*(1+M5)</f>
        <v>122302.4</v>
      </c>
      <c r="N20" s="12">
        <f>I20*(1+N5)</f>
        <v>119264.53</v>
      </c>
      <c r="O20" s="12">
        <f>J20*(1+O5)</f>
        <v>127262.772</v>
      </c>
      <c r="P20" s="12">
        <f>L20+M20+N20+O20</f>
        <v>528398.862</v>
      </c>
      <c r="Q20" s="12">
        <f>L20*(1+Q5)</f>
        <v>172334.69280000002</v>
      </c>
      <c r="R20" s="12">
        <f>M20*(1+R5)</f>
        <v>130863.568</v>
      </c>
      <c r="S20" s="12">
        <f>N20*(1+S5)</f>
        <v>127613.04710000004</v>
      </c>
      <c r="T20" s="12">
        <f>O20*(1+T5)</f>
        <v>136171.16604</v>
      </c>
      <c r="U20" s="12">
        <f>Q20+R20+S20+T20</f>
        <v>566982.47394</v>
      </c>
    </row>
    <row r="21">
      <c r="A21" s="9" t="inlineStr">
        <is>
          <t xml:space="preserve">   YoY Growth %</t>
        </is>
      </c>
      <c r="B21" s="15"/>
      <c r="C21" s="15"/>
      <c r="D21" s="15"/>
      <c r="E21" s="15"/>
      <c r="F21" s="15"/>
      <c r="G21" s="15">
        <f>G20/B20-1</f>
        <v>0.15652453740949324</v>
      </c>
      <c r="H21" s="15">
        <f>H20/C20-1</f>
        <v>0.16595182415922993</v>
      </c>
      <c r="I21" s="15">
        <f>I20/D20-1</f>
        <v>0.16356501765281384</v>
      </c>
      <c r="J21" s="15">
        <f>J20/E20-1</f>
        <v>0.1499999999999999</v>
      </c>
      <c r="K21" s="15">
        <f>K20/F20-1</f>
        <v>0.1586691208450577</v>
      </c>
      <c r="L21" s="15">
        <f>L20/G20-1</f>
        <v>0.1100000000000001</v>
      </c>
      <c r="M21" s="15">
        <f>M20/H20-1</f>
        <v>0.10000000000000007</v>
      </c>
      <c r="N21" s="15">
        <f>N20/I20-1</f>
        <v>0.09000000000000008</v>
      </c>
      <c r="O21" s="15">
        <f>O20/J20-1</f>
        <v>0.08000000000000007</v>
      </c>
      <c r="P21" s="15">
        <f>P20/K20-1</f>
        <v>0.095824641963828</v>
      </c>
      <c r="Q21" s="15">
        <f>Q20/L20-1</f>
        <v>0.08000000000000007</v>
      </c>
      <c r="R21" s="15">
        <f>R20/M20-1</f>
        <v>0.07000000000000006</v>
      </c>
      <c r="S21" s="15">
        <f>S20/N20-1</f>
        <v>0.07000000000000006</v>
      </c>
      <c r="T21" s="15">
        <f>T20/O20-1</f>
        <v>0.07000000000000006</v>
      </c>
      <c r="U21" s="15">
        <f>U20/P20-1</f>
        <v>0.0730198619163569</v>
      </c>
    </row>
    <row r="22">
      <c r="A22" s="9"/>
    </row>
    <row r="23">
      <c r="A23" s="9" t="inlineStr">
        <is>
          <t xml:space="preserve">Cost of Sales</t>
        </is>
      </c>
      <c r="B23" s="13">
        <v>66025</v>
      </c>
      <c r="C23" s="13">
        <v>50492</v>
      </c>
      <c r="D23" s="13">
        <v>50318</v>
      </c>
      <c r="E23" s="13">
        <v>54125</v>
      </c>
      <c r="F23" s="14">
        <f>B23+C23+D23+E23</f>
        <v>220960</v>
      </c>
      <c r="G23" s="13">
        <v>74525</v>
      </c>
      <c r="H23" s="13">
        <v>56403</v>
      </c>
      <c r="I23" s="13">
        <v>54647</v>
      </c>
      <c r="J23" s="14">
        <f>J20-J24</f>
        <v>59507.129499999995</v>
      </c>
      <c r="K23" s="14">
        <f>G23+H23+I23+J23</f>
        <v>245082.1295</v>
      </c>
      <c r="L23" s="14">
        <f>L20-L24</f>
        <v>79784.58</v>
      </c>
      <c r="M23" s="14">
        <f>M20-M24</f>
        <v>60784.2928</v>
      </c>
      <c r="N23" s="14">
        <f>N20-N24</f>
        <v>58916.67782</v>
      </c>
      <c r="O23" s="14">
        <f>O20-O24</f>
        <v>62613.283824</v>
      </c>
      <c r="P23" s="14">
        <f>L23+M23+N23+O23</f>
        <v>262098.83444400004</v>
      </c>
      <c r="Q23" s="14">
        <f>Q20-Q24</f>
        <v>84443.99947200001</v>
      </c>
      <c r="R23" s="14">
        <f>R20-R24</f>
        <v>63730.557616000006</v>
      </c>
      <c r="S23" s="14">
        <f>S20-S24</f>
        <v>61764.7147964</v>
      </c>
      <c r="T23" s="14">
        <f>T20-T24</f>
        <v>65634.50203128</v>
      </c>
      <c r="U23" s="14">
        <f>Q23+R23+S23+T23</f>
        <v>275573.77391568</v>
      </c>
    </row>
    <row r="24">
      <c r="A24" s="10" t="inlineStr">
        <is>
          <t xml:space="preserve">Gross Profit</t>
        </is>
      </c>
      <c r="B24" s="12">
        <f>B20-B23</f>
        <v>58275</v>
      </c>
      <c r="C24" s="12">
        <f>C20-C23</f>
        <v>44867</v>
      </c>
      <c r="D24" s="12">
        <f>D20-D23</f>
        <v>43718</v>
      </c>
      <c r="E24" s="12">
        <f>E20-E23</f>
        <v>48341</v>
      </c>
      <c r="F24" s="12">
        <f>B24+C24+D24+E24</f>
        <v>195201</v>
      </c>
      <c r="G24" s="12">
        <f>G20-G23</f>
        <v>69231</v>
      </c>
      <c r="H24" s="12">
        <f>H20-H23</f>
        <v>54781</v>
      </c>
      <c r="I24" s="12">
        <f>I20-I23</f>
        <v>54770</v>
      </c>
      <c r="J24" s="12">
        <f>J20*J7</f>
        <v>58328.7705</v>
      </c>
      <c r="K24" s="12">
        <f>G24+H24+I24+J24</f>
        <v>237110.7705</v>
      </c>
      <c r="L24" s="12">
        <f>L20*L7</f>
        <v>79784.58</v>
      </c>
      <c r="M24" s="12">
        <f>M20*M7</f>
        <v>61518.107200000006</v>
      </c>
      <c r="N24" s="12">
        <f>N20*N7</f>
        <v>60347.85218000001</v>
      </c>
      <c r="O24" s="12">
        <f>O20*O7</f>
        <v>64649.488176</v>
      </c>
      <c r="P24" s="12">
        <f>L24+M24+N24+O24</f>
        <v>266300.02755600004</v>
      </c>
      <c r="Q24" s="12">
        <f>Q20*Q7</f>
        <v>87890.69332800001</v>
      </c>
      <c r="R24" s="12">
        <f>R20*R7</f>
        <v>67133.01038400001</v>
      </c>
      <c r="S24" s="12">
        <f>S20*S7</f>
        <v>65848.33230360002</v>
      </c>
      <c r="T24" s="12">
        <f>T20*T7</f>
        <v>70536.66400872</v>
      </c>
      <c r="U24" s="12">
        <f>Q24+R24+S24+T24</f>
        <v>291408.70002432005</v>
      </c>
    </row>
    <row r="25">
      <c r="A25" s="9" t="inlineStr">
        <is>
          <t xml:space="preserve">   Gross Margin %</t>
        </is>
      </c>
      <c r="B25" s="15">
        <f>B24/B20</f>
        <v>0.4688254223652454</v>
      </c>
      <c r="C25" s="15">
        <f>C24/C20</f>
        <v>0.47050619238876246</v>
      </c>
      <c r="D25" s="15">
        <f>D24/D20</f>
        <v>0.4649070568718363</v>
      </c>
      <c r="E25" s="15">
        <f>E24/E20</f>
        <v>0.47177600374758455</v>
      </c>
      <c r="F25" s="15">
        <f>F24/F20</f>
        <v>0.4690516410716045</v>
      </c>
      <c r="G25" s="15">
        <f>G24/G20</f>
        <v>0.4815868555051615</v>
      </c>
      <c r="H25" s="15">
        <f>H24/H20</f>
        <v>0.4927057850050367</v>
      </c>
      <c r="I25" s="15">
        <f>I24/I20</f>
        <v>0.500562069879452</v>
      </c>
      <c r="J25" s="15">
        <f>J24/J20</f>
        <v>0.495</v>
      </c>
      <c r="K25" s="15">
        <f>K24/K20</f>
        <v>0.49173426340371246</v>
      </c>
      <c r="L25" s="15">
        <f>L24/L20</f>
        <v>0.5</v>
      </c>
      <c r="M25" s="15">
        <f>M24/M20</f>
        <v>0.503</v>
      </c>
      <c r="N25" s="15">
        <f>N24/N20</f>
        <v>0.506</v>
      </c>
      <c r="O25" s="15">
        <f>O24/O20</f>
        <v>0.508</v>
      </c>
      <c r="P25" s="15">
        <f>P24/P20</f>
        <v>0.5039753994701073</v>
      </c>
      <c r="Q25" s="15">
        <f>Q24/Q20</f>
        <v>0.51</v>
      </c>
      <c r="R25" s="15">
        <f>R24/R20</f>
        <v>0.513</v>
      </c>
      <c r="S25" s="15">
        <f>S24/S20</f>
        <v>0.5160000000000001</v>
      </c>
      <c r="T25" s="15">
        <f>T24/T20</f>
        <v>0.518</v>
      </c>
      <c r="U25" s="15">
        <f>U24/U20</f>
        <v>0.5139642112732357</v>
      </c>
    </row>
    <row r="26">
      <c r="A26" s="9"/>
    </row>
    <row r="27">
      <c r="A27" s="9" t="inlineStr">
        <is>
          <t xml:space="preserve">Research &amp; Development</t>
        </is>
      </c>
      <c r="B27" s="13">
        <v>8268</v>
      </c>
      <c r="C27" s="13">
        <v>8550</v>
      </c>
      <c r="D27" s="13">
        <v>8866</v>
      </c>
      <c r="E27" s="13">
        <v>8866</v>
      </c>
      <c r="F27" s="14">
        <f>B27+C27+D27+E27</f>
        <v>34550</v>
      </c>
      <c r="G27" s="13">
        <v>10887</v>
      </c>
      <c r="H27" s="13">
        <v>11419</v>
      </c>
      <c r="I27" s="13">
        <v>11729</v>
      </c>
      <c r="J27" s="14">
        <f>J20*J8</f>
        <v>12726.2772</v>
      </c>
      <c r="K27" s="14">
        <f>G27+H27+I27+J27</f>
        <v>46761.2772</v>
      </c>
      <c r="L27" s="14">
        <f>L20*L8</f>
        <v>17552.6076</v>
      </c>
      <c r="M27" s="14">
        <f>M20*M8</f>
        <v>13820.1712</v>
      </c>
      <c r="N27" s="14">
        <f>N20*N8</f>
        <v>13715.420950000002</v>
      </c>
      <c r="O27" s="14">
        <f>O20*O8</f>
        <v>14253.430464</v>
      </c>
      <c r="P27" s="14">
        <f>L27+M27+N27+O27</f>
        <v>59341.630214</v>
      </c>
      <c r="Q27" s="14">
        <f>Q20*Q8</f>
        <v>19301.4855936</v>
      </c>
      <c r="R27" s="14">
        <f>R20*R8</f>
        <v>15049.310320000002</v>
      </c>
      <c r="S27" s="14">
        <f>S20*S8</f>
        <v>14930.726510700004</v>
      </c>
      <c r="T27" s="14">
        <f>T20*T8</f>
        <v>15523.51292856</v>
      </c>
      <c r="U27" s="14">
        <f>Q27+R27+S27+T27</f>
        <v>64805.03535286001</v>
      </c>
    </row>
    <row r="28">
      <c r="A28" s="9" t="inlineStr">
        <is>
          <t xml:space="preserve">Selling, General &amp; Administrative</t>
        </is>
      </c>
      <c r="B28" s="13">
        <v>7175</v>
      </c>
      <c r="C28" s="13">
        <v>6728</v>
      </c>
      <c r="D28" s="13">
        <v>6650</v>
      </c>
      <c r="E28" s="13">
        <v>7048</v>
      </c>
      <c r="F28" s="14">
        <f>B28+C28+D28+E28</f>
        <v>27601</v>
      </c>
      <c r="G28" s="13">
        <v>7492</v>
      </c>
      <c r="H28" s="13">
        <v>7477</v>
      </c>
      <c r="I28" s="13">
        <v>7346</v>
      </c>
      <c r="J28" s="14">
        <f>J20*J9</f>
        <v>8012.8412</v>
      </c>
      <c r="K28" s="14">
        <f>G28+H28+I28+J28</f>
        <v>30327.8412</v>
      </c>
      <c r="L28" s="14">
        <f>L20*L9</f>
        <v>9893.28792</v>
      </c>
      <c r="M28" s="14">
        <f>M20*M9</f>
        <v>8316.5632</v>
      </c>
      <c r="N28" s="14">
        <f>N20*N9</f>
        <v>7990.723510000002</v>
      </c>
      <c r="O28" s="14">
        <f>O20*O9</f>
        <v>8781.131268000001</v>
      </c>
      <c r="P28" s="14">
        <f>L28+M28+N28+O28</f>
        <v>34981.705898</v>
      </c>
      <c r="Q28" s="14">
        <f>Q20*Q9</f>
        <v>10512.4162608</v>
      </c>
      <c r="R28" s="14">
        <f>R20*R9</f>
        <v>8767.859056000001</v>
      </c>
      <c r="S28" s="14">
        <f>S20*S9</f>
        <v>8422.461108600002</v>
      </c>
      <c r="T28" s="14">
        <f>T20*T9</f>
        <v>9259.63929072</v>
      </c>
      <c r="U28" s="14">
        <f>Q28+R28+S28+T28</f>
        <v>36962.375716120005</v>
      </c>
    </row>
    <row r="29">
      <c r="A29" s="11" t="inlineStr">
        <is>
          <t xml:space="preserve">Total Operating Expenses</t>
        </is>
      </c>
      <c r="B29" s="12">
        <f>B27+B28</f>
        <v>15443</v>
      </c>
      <c r="C29" s="12">
        <f>C27+C28</f>
        <v>15278</v>
      </c>
      <c r="D29" s="12">
        <f>D27+D28</f>
        <v>15516</v>
      </c>
      <c r="E29" s="12">
        <f>E27+E28</f>
        <v>15914</v>
      </c>
      <c r="F29" s="12">
        <f>F27+F28</f>
        <v>62151</v>
      </c>
      <c r="G29" s="12">
        <f>G27+G28</f>
        <v>18379</v>
      </c>
      <c r="H29" s="12">
        <f>H27+H28</f>
        <v>18896</v>
      </c>
      <c r="I29" s="12">
        <f>I27+I28</f>
        <v>19075</v>
      </c>
      <c r="J29" s="12">
        <f>J27+J28</f>
        <v>20739.1184</v>
      </c>
      <c r="K29" s="12">
        <f>K27+K28</f>
        <v>77089.11839999999</v>
      </c>
      <c r="L29" s="12">
        <f>L27+L28</f>
        <v>27445.89552</v>
      </c>
      <c r="M29" s="12">
        <f>M27+M28</f>
        <v>22136.7344</v>
      </c>
      <c r="N29" s="12">
        <f>N27+N28</f>
        <v>21706.144460000003</v>
      </c>
      <c r="O29" s="12">
        <f>O27+O28</f>
        <v>23034.561732</v>
      </c>
      <c r="P29" s="12">
        <f>P27+P28</f>
        <v>94323.336112</v>
      </c>
      <c r="Q29" s="12">
        <f>Q27+Q28</f>
        <v>29813.901854400003</v>
      </c>
      <c r="R29" s="12">
        <f>R27+R28</f>
        <v>23817.169376000005</v>
      </c>
      <c r="S29" s="12">
        <f>S27+S28</f>
        <v>23353.187619300006</v>
      </c>
      <c r="T29" s="12">
        <f>T27+T28</f>
        <v>24783.152219280004</v>
      </c>
      <c r="U29" s="12">
        <f>U27+U28</f>
        <v>101767.41106898</v>
      </c>
    </row>
    <row r="30">
      <c r="A30" s="9"/>
    </row>
    <row r="31">
      <c r="A31" s="10" t="inlineStr">
        <is>
          <t xml:space="preserve">Operating Income</t>
        </is>
      </c>
      <c r="B31" s="12">
        <f>B24-B29</f>
        <v>42832</v>
      </c>
      <c r="C31" s="12">
        <f>C24-C29</f>
        <v>29589</v>
      </c>
      <c r="D31" s="12">
        <f>D24-D29</f>
        <v>28202</v>
      </c>
      <c r="E31" s="12">
        <f>E24-E29</f>
        <v>32427</v>
      </c>
      <c r="F31" s="12">
        <f>F24-F29</f>
        <v>133050</v>
      </c>
      <c r="G31" s="12">
        <f>G24-G29</f>
        <v>50852</v>
      </c>
      <c r="H31" s="12">
        <f>H24-H29</f>
        <v>35885</v>
      </c>
      <c r="I31" s="12">
        <f>I24-I29</f>
        <v>35695</v>
      </c>
      <c r="J31" s="12">
        <f>J24-J29</f>
        <v>37589.6521</v>
      </c>
      <c r="K31" s="12">
        <f>K24-K29</f>
        <v>160021.6521</v>
      </c>
      <c r="L31" s="12">
        <f>L24-L29</f>
        <v>52338.68448</v>
      </c>
      <c r="M31" s="12">
        <f>M24-M29</f>
        <v>39381.372800000005</v>
      </c>
      <c r="N31" s="12">
        <f>N24-N29</f>
        <v>38641.707720000006</v>
      </c>
      <c r="O31" s="12">
        <f>O24-O29</f>
        <v>41614.926444</v>
      </c>
      <c r="P31" s="12">
        <f>P24-P29</f>
        <v>171976.69144400003</v>
      </c>
      <c r="Q31" s="12">
        <f>Q24-Q29</f>
        <v>58076.79147360001</v>
      </c>
      <c r="R31" s="12">
        <f>R24-R29</f>
        <v>43315.841008</v>
      </c>
      <c r="S31" s="12">
        <f>S24-S29</f>
        <v>42495.144684300016</v>
      </c>
      <c r="T31" s="12">
        <f>T24-T29</f>
        <v>45753.51178944</v>
      </c>
      <c r="U31" s="12">
        <f>U24-U29</f>
        <v>189641.28895534005</v>
      </c>
    </row>
    <row r="32">
      <c r="A32" s="9" t="inlineStr">
        <is>
          <t xml:space="preserve">   Operating Margin %</t>
        </is>
      </c>
      <c r="B32" s="15">
        <f>B31/B20</f>
        <v>0.34458567980691873</v>
      </c>
      <c r="C32" s="15">
        <f>C31/C20</f>
        <v>0.31029058610094484</v>
      </c>
      <c r="D32" s="15">
        <f>D31/D20</f>
        <v>0.2999064188183249</v>
      </c>
      <c r="E32" s="15">
        <f>E31/E20</f>
        <v>0.3164659496808698</v>
      </c>
      <c r="F32" s="15">
        <f>F31/F20</f>
        <v>0.31970799762591884</v>
      </c>
      <c r="G32" s="15">
        <f>G31/G20</f>
        <v>0.35373827875010433</v>
      </c>
      <c r="H32" s="15">
        <f>H31/H20</f>
        <v>0.32275327385235286</v>
      </c>
      <c r="I32" s="15">
        <f>I31/I20</f>
        <v>0.3262290137729969</v>
      </c>
      <c r="J32" s="15">
        <f>J31/J20</f>
        <v>0.319</v>
      </c>
      <c r="K32" s="15">
        <f>K31/K20</f>
        <v>0.33186231506104713</v>
      </c>
      <c r="L32" s="15">
        <f>L31/L20</f>
        <v>0.328</v>
      </c>
      <c r="M32" s="15">
        <f>M31/M20</f>
        <v>0.322</v>
      </c>
      <c r="N32" s="15">
        <f>N31/N20</f>
        <v>0.324</v>
      </c>
      <c r="O32" s="15">
        <f>O31/O20</f>
        <v>0.32699999999999996</v>
      </c>
      <c r="P32" s="15">
        <f>P31/P20</f>
        <v>0.3254675659085732</v>
      </c>
      <c r="Q32" s="15">
        <f>Q31/Q20</f>
        <v>0.337</v>
      </c>
      <c r="R32" s="15">
        <f>R31/R20</f>
        <v>0.33099999999999996</v>
      </c>
      <c r="S32" s="15">
        <f>S31/S20</f>
        <v>0.3330000000000001</v>
      </c>
      <c r="T32" s="15">
        <f>T31/T20</f>
        <v>0.336</v>
      </c>
      <c r="U32" s="15">
        <f>U31/U20</f>
        <v>0.33447469308444355</v>
      </c>
    </row>
    <row r="33">
      <c r="A33" s="9"/>
    </row>
    <row r="34">
      <c r="A34" s="9" t="inlineStr">
        <is>
          <t xml:space="preserve">Other Income/(Expense), net</t>
        </is>
      </c>
      <c r="B34" s="13">
        <v>-248</v>
      </c>
      <c r="C34" s="13">
        <v>-279</v>
      </c>
      <c r="D34" s="13">
        <v>-171</v>
      </c>
      <c r="E34" s="13">
        <v>377</v>
      </c>
      <c r="F34" s="14">
        <f>B34+C34+D34+E34</f>
        <v>-321</v>
      </c>
      <c r="G34" s="13">
        <v>150</v>
      </c>
      <c r="H34" s="13">
        <v>-52</v>
      </c>
      <c r="I34" s="13">
        <v>572</v>
      </c>
      <c r="J34" s="14">
        <f>J20*J10</f>
        <v>353.5077</v>
      </c>
      <c r="K34" s="14">
        <f>G34+H34+I34+J34</f>
        <v>1023.5077</v>
      </c>
      <c r="L34" s="14">
        <f>L20*L10</f>
        <v>478.70748</v>
      </c>
      <c r="M34" s="14">
        <f>M20*M10</f>
        <v>366.9072000000001</v>
      </c>
      <c r="N34" s="14">
        <f>N20*N10</f>
        <v>357.79359000000005</v>
      </c>
      <c r="O34" s="14">
        <f>O20*O10</f>
        <v>381.788316</v>
      </c>
      <c r="P34" s="14">
        <f>L34+M34+N34+O34</f>
        <v>1585.196586</v>
      </c>
      <c r="Q34" s="14">
        <f>Q20*Q10</f>
        <v>517.0040784</v>
      </c>
      <c r="R34" s="14">
        <f>R20*R10</f>
        <v>392.5907040000001</v>
      </c>
      <c r="S34" s="14">
        <f>S20*S10</f>
        <v>382.8391413000001</v>
      </c>
      <c r="T34" s="14">
        <f>T20*T10</f>
        <v>408.51349812000007</v>
      </c>
      <c r="U34" s="14">
        <f>Q34+R34+S34+T34</f>
        <v>1700.9474218200005</v>
      </c>
    </row>
    <row r="35">
      <c r="A35" s="11" t="inlineStr">
        <is>
          <t xml:space="preserve">Income Before Provision for Income Taxes</t>
        </is>
      </c>
      <c r="B35" s="12">
        <f>B31+B34</f>
        <v>42584</v>
      </c>
      <c r="C35" s="12">
        <f>C31+C34</f>
        <v>29310</v>
      </c>
      <c r="D35" s="12">
        <f>D31+D34</f>
        <v>28031</v>
      </c>
      <c r="E35" s="12">
        <f>E31+E34</f>
        <v>32804</v>
      </c>
      <c r="F35" s="12">
        <f>F31+F34</f>
        <v>132729</v>
      </c>
      <c r="G35" s="12">
        <f>G31+G34</f>
        <v>51002</v>
      </c>
      <c r="H35" s="12">
        <f>H31+H34</f>
        <v>35833</v>
      </c>
      <c r="I35" s="12">
        <f>I31+I34</f>
        <v>36267</v>
      </c>
      <c r="J35" s="12">
        <f>J31+J34</f>
        <v>37943.1598</v>
      </c>
      <c r="K35" s="12">
        <f>K31+K34</f>
        <v>161045.1598</v>
      </c>
      <c r="L35" s="12">
        <f>L31+L34</f>
        <v>52817.39196</v>
      </c>
      <c r="M35" s="12">
        <f>M31+M34</f>
        <v>39748.280000000006</v>
      </c>
      <c r="N35" s="12">
        <f>N31+N34</f>
        <v>38999.50131000001</v>
      </c>
      <c r="O35" s="12">
        <f>O31+O34</f>
        <v>41996.714759999995</v>
      </c>
      <c r="P35" s="12">
        <f>P31+P34</f>
        <v>173561.88803000006</v>
      </c>
      <c r="Q35" s="12">
        <f>Q31+Q34</f>
        <v>58593.79555200001</v>
      </c>
      <c r="R35" s="12">
        <f>R31+R34</f>
        <v>43708.431712000005</v>
      </c>
      <c r="S35" s="12">
        <f>S31+S34</f>
        <v>42877.983825600015</v>
      </c>
      <c r="T35" s="12">
        <f>T31+T34</f>
        <v>46162.025287560005</v>
      </c>
      <c r="U35" s="12">
        <f>U31+U34</f>
        <v>191342.23637716004</v>
      </c>
    </row>
    <row r="36">
      <c r="A36" s="9" t="inlineStr">
        <is>
          <t xml:space="preserve">Provision for Income Taxes</t>
        </is>
      </c>
      <c r="B36" s="13">
        <v>6254</v>
      </c>
      <c r="C36" s="13">
        <v>4530</v>
      </c>
      <c r="D36" s="13">
        <v>4597</v>
      </c>
      <c r="E36" s="13">
        <v>5338</v>
      </c>
      <c r="F36" s="14">
        <f>B36+C36+D36+E36</f>
        <v>20719</v>
      </c>
      <c r="G36" s="13">
        <v>8905</v>
      </c>
      <c r="H36" s="13">
        <v>6255</v>
      </c>
      <c r="I36" s="13">
        <v>6478</v>
      </c>
      <c r="J36" s="14">
        <f>J35*J11</f>
        <v>6640.052965</v>
      </c>
      <c r="K36" s="14">
        <f>G36+H36+I36+J36</f>
        <v>28278.052965</v>
      </c>
      <c r="L36" s="14">
        <f>L35*L11</f>
        <v>9243.043593</v>
      </c>
      <c r="M36" s="14">
        <f>M35*M11</f>
        <v>6955.9490000000005</v>
      </c>
      <c r="N36" s="14">
        <f>N35*N11</f>
        <v>6824.912729250001</v>
      </c>
      <c r="O36" s="14">
        <f>O35*O11</f>
        <v>7349.425082999998</v>
      </c>
      <c r="P36" s="14">
        <f>L36+M36+N36+O36</f>
        <v>30373.33040525</v>
      </c>
      <c r="Q36" s="14">
        <f>Q35*Q11</f>
        <v>10253.914221600002</v>
      </c>
      <c r="R36" s="14">
        <f>R35*R11</f>
        <v>7648.975549600001</v>
      </c>
      <c r="S36" s="14">
        <f>S35*S11</f>
        <v>7503.647169480002</v>
      </c>
      <c r="T36" s="14">
        <f>T35*T11</f>
        <v>8078.354425323</v>
      </c>
      <c r="U36" s="14">
        <f>Q36+R36+S36+T36</f>
        <v>33484.89136600301</v>
      </c>
    </row>
    <row r="37">
      <c r="A37" s="9" t="inlineStr">
        <is>
          <t xml:space="preserve">   Effective Tax Rate %</t>
        </is>
      </c>
      <c r="B37" s="15">
        <f>B36/B35</f>
        <v>0.14686267142588766</v>
      </c>
      <c r="C37" s="15">
        <f>C36/C35</f>
        <v>0.15455475946775846</v>
      </c>
      <c r="D37" s="15">
        <f>D36/D35</f>
        <v>0.16399700331775535</v>
      </c>
      <c r="E37" s="15">
        <f>E36/E35</f>
        <v>0.16272405804170223</v>
      </c>
      <c r="F37" s="15">
        <f>F36/F35</f>
        <v>0.15610002335586043</v>
      </c>
      <c r="G37" s="15">
        <f>G36/G35</f>
        <v>0.174600996039371</v>
      </c>
      <c r="H37" s="15">
        <f>H36/H35</f>
        <v>0.17455976334663578</v>
      </c>
      <c r="I37" s="15">
        <f>I36/I35</f>
        <v>0.1786196818043952</v>
      </c>
      <c r="J37" s="15">
        <f>J36/J35</f>
        <v>0.175</v>
      </c>
      <c r="K37" s="15">
        <f>K36/K35</f>
        <v>0.17559082806411672</v>
      </c>
      <c r="L37" s="15">
        <f>L36/L35</f>
        <v>0.17500000000000002</v>
      </c>
      <c r="M37" s="15">
        <f>M36/M35</f>
        <v>0.175</v>
      </c>
      <c r="N37" s="15">
        <f>N36/N35</f>
        <v>0.175</v>
      </c>
      <c r="O37" s="15">
        <f>O36/O35</f>
        <v>0.175</v>
      </c>
      <c r="P37" s="15">
        <f>P36/P35</f>
        <v>0.17499999999999993</v>
      </c>
      <c r="Q37" s="15">
        <f>Q36/Q35</f>
        <v>0.175</v>
      </c>
      <c r="R37" s="15">
        <f>R36/R35</f>
        <v>0.175</v>
      </c>
      <c r="S37" s="15">
        <f>S36/S35</f>
        <v>0.175</v>
      </c>
      <c r="T37" s="15">
        <f>T36/T35</f>
        <v>0.175</v>
      </c>
      <c r="U37" s="15">
        <f>U36/U35</f>
        <v>0.17500000000000002</v>
      </c>
    </row>
    <row r="38">
      <c r="A38" s="9"/>
    </row>
    <row r="39">
      <c r="A39" s="10" t="inlineStr">
        <is>
          <t xml:space="preserve">Net Income</t>
        </is>
      </c>
      <c r="B39" s="12">
        <f>B35-B36</f>
        <v>36330</v>
      </c>
      <c r="C39" s="12">
        <f>C35-C36</f>
        <v>24780</v>
      </c>
      <c r="D39" s="12">
        <f>D35-D36</f>
        <v>23434</v>
      </c>
      <c r="E39" s="12">
        <f>E35-E36</f>
        <v>27466</v>
      </c>
      <c r="F39" s="12">
        <f>F35-F36</f>
        <v>112010</v>
      </c>
      <c r="G39" s="12">
        <f>G35-G36</f>
        <v>42097</v>
      </c>
      <c r="H39" s="12">
        <f>H35-H36</f>
        <v>29578</v>
      </c>
      <c r="I39" s="12">
        <f>I35-I36</f>
        <v>29789</v>
      </c>
      <c r="J39" s="12">
        <f>J35-J36</f>
        <v>31303.106835</v>
      </c>
      <c r="K39" s="12">
        <f>K35-K36</f>
        <v>132767.10683499998</v>
      </c>
      <c r="L39" s="12">
        <f>L35-L36</f>
        <v>43574.348367</v>
      </c>
      <c r="M39" s="12">
        <f>M35-M36</f>
        <v>32792.331000000006</v>
      </c>
      <c r="N39" s="12">
        <f>N35-N36</f>
        <v>32174.588580750005</v>
      </c>
      <c r="O39" s="12">
        <f>O35-O36</f>
        <v>34647.28967699999</v>
      </c>
      <c r="P39" s="12">
        <f>P35-P36</f>
        <v>143188.55762475007</v>
      </c>
      <c r="Q39" s="12">
        <f>Q35-Q36</f>
        <v>48339.88133040001</v>
      </c>
      <c r="R39" s="12">
        <f>R35-R36</f>
        <v>36059.456162400005</v>
      </c>
      <c r="S39" s="12">
        <f>S35-S36</f>
        <v>35374.33665612001</v>
      </c>
      <c r="T39" s="12">
        <f>T35-T36</f>
        <v>38083.670862237006</v>
      </c>
      <c r="U39" s="12">
        <f>U35-U36</f>
        <v>157857.34501115704</v>
      </c>
    </row>
    <row r="40">
      <c r="A40" s="9" t="inlineStr">
        <is>
          <t xml:space="preserve">   Net Margin %</t>
        </is>
      </c>
      <c r="B40" s="15">
        <f>B39/B20</f>
        <v>0.2922767497988737</v>
      </c>
      <c r="C40" s="15">
        <f>C39/C20</f>
        <v>0.25986010759341016</v>
      </c>
      <c r="D40" s="15">
        <f>D39/D20</f>
        <v>0.24920243311072351</v>
      </c>
      <c r="E40" s="15">
        <f>E39/E20</f>
        <v>0.2680498897195167</v>
      </c>
      <c r="F40" s="15">
        <f>F39/F20</f>
        <v>0.2691506412181824</v>
      </c>
      <c r="G40" s="15">
        <f>G39/G20</f>
        <v>0.292836472912435</v>
      </c>
      <c r="H40" s="15">
        <f>H39/H20</f>
        <v>0.2660274859692042</v>
      </c>
      <c r="I40" s="15">
        <f>I39/I20</f>
        <v>0.2722520266503377</v>
      </c>
      <c r="J40" s="15">
        <f>J39/J20</f>
        <v>0.26565000000000005</v>
      </c>
      <c r="K40" s="15">
        <f>K39/K20</f>
        <v>0.2753402358993672</v>
      </c>
      <c r="L40" s="15">
        <f>L39/L20</f>
        <v>0.273075</v>
      </c>
      <c r="M40" s="15">
        <f>M39/M20</f>
        <v>0.268125</v>
      </c>
      <c r="N40" s="15">
        <f>N39/N20</f>
        <v>0.269775</v>
      </c>
      <c r="O40" s="15">
        <f>O39/O20</f>
        <v>0.27224999999999994</v>
      </c>
      <c r="P40" s="15">
        <f>P39/P20</f>
        <v>0.2709857418745729</v>
      </c>
      <c r="Q40" s="15">
        <f>Q39/Q20</f>
        <v>0.2805</v>
      </c>
      <c r="R40" s="15">
        <f>R39/R20</f>
        <v>0.27555</v>
      </c>
      <c r="S40" s="15">
        <f>S39/S20</f>
        <v>0.2772</v>
      </c>
      <c r="T40" s="15">
        <f>T39/T20</f>
        <v>0.279675</v>
      </c>
      <c r="U40" s="15">
        <f>U39/U20</f>
        <v>0.278416621794666</v>
      </c>
    </row>
    <row r="41">
      <c r="A41" s="9"/>
    </row>
    <row r="42">
      <c r="A42" s="9" t="inlineStr">
        <is>
          <t xml:space="preserve">Diluted EPS ($)</t>
        </is>
      </c>
      <c r="B42" s="16">
        <f>B39/B43</f>
        <v>2.397882893154945</v>
      </c>
      <c r="C42" s="16">
        <f>C39/C43</f>
        <v>1.6500001997578937</v>
      </c>
      <c r="D42" s="16">
        <f>D39/D43</f>
        <v>1.5676825919732431</v>
      </c>
      <c r="E42" s="16">
        <f>E39/E43</f>
        <v>1.8478688453120635</v>
      </c>
      <c r="F42" s="16">
        <f>F39/F43</f>
        <v>7.469719535238865</v>
      </c>
      <c r="G42" s="16">
        <f>G39/G43</f>
        <v>2.842402978024296</v>
      </c>
      <c r="H42" s="16">
        <f>H39/H43</f>
        <v>2.010003125976868</v>
      </c>
      <c r="I42" s="16">
        <f>I39/I43</f>
        <v>2.0244414487957467</v>
      </c>
      <c r="J42" s="16">
        <f>J39/J43</f>
        <v>2.1600238946005645</v>
      </c>
      <c r="K42" s="16">
        <f>K39/K43</f>
        <v>9.04216357962801</v>
      </c>
      <c r="L42" s="16">
        <f>L39/L43</f>
        <v>3.017593861401389</v>
      </c>
      <c r="M42" s="16">
        <f>M39/M43</f>
        <v>2.285575655435802</v>
      </c>
      <c r="N42" s="16">
        <f>N39/N43</f>
        <v>2.242630284998356</v>
      </c>
      <c r="O42" s="16">
        <f>O39/O43</f>
        <v>2.4520863705546776</v>
      </c>
      <c r="P42" s="16">
        <f>P39/P43</f>
        <v>10.001970438108811</v>
      </c>
      <c r="Q42" s="16">
        <f>Q39/Q43</f>
        <v>3.4334509749991176</v>
      </c>
      <c r="R42" s="16">
        <f>R39/R43</f>
        <v>2.5777326319199907</v>
      </c>
      <c r="S42" s="16">
        <f>S39/S43</f>
        <v>2.5288808596020047</v>
      </c>
      <c r="T42" s="16">
        <f>T39/T43</f>
        <v>2.7643987232052787</v>
      </c>
      <c r="U42" s="16">
        <f>U39/U43</f>
        <v>11.309344426719877</v>
      </c>
    </row>
    <row r="43">
      <c r="A43" s="9" t="inlineStr">
        <is>
          <t xml:space="preserve">Diluted Shares Outstanding (millions)</t>
        </is>
      </c>
      <c r="B43" s="17">
        <v>15150.865</v>
      </c>
      <c r="C43" s="17">
        <v>15018.18</v>
      </c>
      <c r="D43" s="17">
        <v>14948.179</v>
      </c>
      <c r="E43" s="17">
        <v>14863.609</v>
      </c>
      <c r="F43" s="18">
        <f>AVERAGE(B43,C43,D43,E43)</f>
        <v>14995.20825</v>
      </c>
      <c r="G43" s="17">
        <v>14810.356</v>
      </c>
      <c r="H43" s="17">
        <v>14715.4</v>
      </c>
      <c r="I43" s="17">
        <v>14714.676</v>
      </c>
      <c r="J43" s="18">
        <f>E43*(1+J12)</f>
        <v>14492.018775</v>
      </c>
      <c r="K43" s="18">
        <f>AVERAGE(G43,H43,I43,J43)</f>
        <v>14683.11269375</v>
      </c>
      <c r="L43" s="18">
        <f>G43*(1+L12)</f>
        <v>14440.0971</v>
      </c>
      <c r="M43" s="18">
        <f>H43*(1+M12)</f>
        <v>14347.515</v>
      </c>
      <c r="N43" s="18">
        <f>I43*(1+N12)</f>
        <v>14346.8091</v>
      </c>
      <c r="O43" s="18">
        <f>J43*(1+O12)</f>
        <v>14129.718305625</v>
      </c>
      <c r="P43" s="18">
        <f>AVERAGE(L43,M43,N43,O43)</f>
        <v>14316.03487640625</v>
      </c>
      <c r="Q43" s="18">
        <f>L43*(1+Q12)</f>
        <v>14079.0946725</v>
      </c>
      <c r="R43" s="18">
        <f>M43*(1+R12)</f>
        <v>13988.827125</v>
      </c>
      <c r="S43" s="18">
        <f>N43*(1+S12)</f>
        <v>13988.138872499998</v>
      </c>
      <c r="T43" s="18">
        <f>O43*(1+T12)</f>
        <v>13776.475347984377</v>
      </c>
      <c r="U43" s="18">
        <f>AVERAGE(Q43,R43,S43,T43)</f>
        <v>13958.134004496093</v>
      </c>
    </row>
    <row r="45" ht="22.51" customHeight="1">
      <c r="A45" s="19" t="inlineStr">
        <is>
          <t xml:space="preserve">Sources: Apple Inc. Form 10-K FY2025 (filed 10/31/2025) &amp; Form 10-Q Q1-Q3 FY2026 (SEC EDGAR), figures tie exactly to filed statements. Q4 FY2026E and FY2027E-FY2028E are illustrative trend-based projections, not company guidance or analyst consensus.</t>
        </is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</row>
  </sheetData>
  <mergeCells count="4">
    <mergeCell ref="A1:U1"/>
    <mergeCell ref="A2:U2"/>
    <mergeCell ref="A4:U4"/>
    <mergeCell ref="A45:U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2026-08-18T01:24:09Z</dcterms:created>
  <dcterms:modified xsi:type="dcterms:W3CDTF">2026-08-18T01:24:09Z</dcterms:modified>
</cp:coreProperties>
</file>