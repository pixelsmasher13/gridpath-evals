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(#,##0);-"/>
    <numFmt numFmtId="165" formatCode="0.0%;(0.0%);-"/>
    <numFmt numFmtId="166" formatCode="$#,##0.00;($#,##0.00);-"/>
  </numFmts>
  <fonts x14ac:knownFonts="1" count="10">
    <font>
      <color theme="1"/>
      <family val="2"/>
      <scheme val="minor"/>
      <sz val="11"/>
      <name val="Calibri"/>
    </font>
    <font>
      <b/>
      <family val="2"/>
      <scheme val="minor"/>
      <name val="Calibri"/>
      <color rgb="FFFFFFFF"/>
      <sz val="15"/>
    </font>
    <font>
      <i/>
      <family val="2"/>
      <scheme val="minor"/>
      <name val="Calibri"/>
      <color rgb="FFFFFFFF"/>
      <sz val="9"/>
    </font>
    <font>
      <b/>
      <family val="2"/>
      <scheme val="minor"/>
      <sz val="11"/>
      <name val="Calibri"/>
      <color rgb="FFFFFFFF"/>
    </font>
    <font>
      <b/>
      <color theme="1"/>
      <family val="2"/>
      <scheme val="minor"/>
      <sz val="11"/>
      <name val="Calibri"/>
    </font>
    <font>
      <b/>
      <family val="2"/>
      <scheme val="minor"/>
      <sz val="11"/>
      <name val="Calibri"/>
      <color rgb="FF0000FF"/>
    </font>
    <font>
      <i/>
      <color theme="1"/>
      <family val="2"/>
      <scheme val="minor"/>
      <sz val="11"/>
      <name val="Calibri"/>
    </font>
    <font>
      <i/>
      <color theme="1"/>
      <family val="2"/>
      <scheme val="minor"/>
      <name val="Calibri"/>
      <sz val="10"/>
    </font>
    <font>
      <family val="2"/>
      <scheme val="minor"/>
      <sz val="11"/>
      <name val="Calibri"/>
      <color rgb="FF0000FF"/>
    </font>
    <font>
      <i/>
      <color theme="1"/>
      <family val="2"/>
      <scheme val="minor"/>
      <name val="Calibri"/>
      <sz val="9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164" fontId="3" fillId="0" borderId="0" xfId="0" applyFont="1" applyFill="1" applyNumberFormat="1"/>
    <xf numFmtId="0" fontId="4" fillId="0" borderId="0" xfId="0" applyFont="1" applyFill="1"/>
    <xf numFmtId="164" fontId="4" fillId="0" borderId="0" xfId="0" applyFont="1" applyFill="1" applyNumberFormat="1"/>
    <xf numFmtId="164" fontId="5" fillId="0" borderId="0" xfId="0" applyFont="1" applyFill="1" applyNumberFormat="1"/>
    <xf numFmtId="0" fontId="6" fillId="0" borderId="0" xfId="0" applyFont="1" applyFill="1"/>
    <xf numFmtId="165" fontId="6" fillId="0" borderId="0" xfId="0" applyFont="1" applyFill="1" applyNumberFormat="1"/>
    <xf numFmtId="0" fontId="7" fillId="0" borderId="0" xfId="0" applyFont="1" applyFill="1"/>
    <xf numFmtId="164" fontId="8" fillId="0" borderId="0" xfId="0" applyFont="1" applyFill="1" applyNumberFormat="1"/>
    <xf numFmtId="164" fontId="0" fillId="0" borderId="0" xfId="0" applyFill="1" applyNumberFormat="1"/>
    <xf numFmtId="166" fontId="8" fillId="0" borderId="0" xfId="0" applyFont="1" applyFill="1" applyNumberFormat="1"/>
    <xf numFmtId="166" fontId="0" fillId="0" borderId="0" xfId="0" applyFill="1" applyNumberFormat="1"/>
    <xf numFmtId="3" fontId="0" fillId="0" borderId="0" xfId="0" applyFill="1" applyNumberFormat="1"/>
    <xf numFmtId="165" fontId="0" fillId="0" borderId="0" xfId="0" applyFill="1" applyNumberFormat="1"/>
    <xf numFmtId="165" fontId="8" fillId="0" borderId="0" xfId="0" applyFont="1" applyFill="1" applyNumberFormat="1"/>
    <xf numFmtId="0" fontId="9" fillId="0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xSplit="1" ySplit="5" topLeftCell="B6" activePane="bottomRight" state="frozen"/>
    </sheetView>
  </sheetViews>
  <sheetFormatPr defaultRowHeight="15" outlineLevelRow="0" outlineLevelCol="0" x14ac:dyDescent="55"/>
  <cols>
    <col min="1" max="1" width="39.29" customWidth="1"/>
    <col min="2" max="2" width="10.14" customWidth="1"/>
    <col min="3" max="3" width="10.14" customWidth="1"/>
    <col min="4" max="4" width="10.14" customWidth="1"/>
    <col min="5" max="5" width="10.14" customWidth="1"/>
    <col min="6" max="6" width="12.14" customWidth="1"/>
    <col min="7" max="7" width="10.14" customWidth="1"/>
    <col min="8" max="8" width="10.14" customWidth="1"/>
    <col min="9" max="9" width="10.14" customWidth="1"/>
    <col min="10" max="10" width="10.14" customWidth="1"/>
    <col min="11" max="11" width="12.14" customWidth="1"/>
    <col min="12" max="12" width="10.14" customWidth="1"/>
    <col min="13" max="13" width="10.14" customWidth="1"/>
    <col min="14" max="14" width="10.14" customWidth="1"/>
    <col min="15" max="15" width="10.14" customWidth="1"/>
    <col min="16" max="16" width="12.14" customWidth="1"/>
    <col min="17" max="17" width="10.14" customWidth="1"/>
    <col min="18" max="18" width="10.14" customWidth="1"/>
    <col min="19" max="19" width="10.14" customWidth="1"/>
    <col min="20" max="20" width="10.14" customWidth="1"/>
    <col min="21" max="21" width="12.14" customWidth="1"/>
  </cols>
  <sheetData>
    <row r="1" ht="19.5" customHeight="1">
      <c r="A1" s="1" t="inlineStr">
        <is>
          <t xml:space="preserve">Apple Inc. (AAPL) — Income Statement Forecast, FY2026E–FY2028E (Quarterly)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2" t="inlineStr">
        <is>
          <t xml:space="preserve">$ in millions, except per-share data  |  Fiscal year ends last Saturday of September  |  A = Actual (reported)  |  E = Estimate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ht="15" customHeight="1">
      <c r="A4" s="3"/>
      <c r="B4" s="3" t="inlineStr">
        <is>
          <t xml:space="preserve">Q1 FY25</t>
        </is>
      </c>
      <c r="C4" s="3" t="inlineStr">
        <is>
          <t xml:space="preserve">Q2 FY25</t>
        </is>
      </c>
      <c r="D4" s="3" t="inlineStr">
        <is>
          <t xml:space="preserve">Q3 FY25</t>
        </is>
      </c>
      <c r="E4" s="3" t="inlineStr">
        <is>
          <t xml:space="preserve">Q4 FY25</t>
        </is>
      </c>
      <c r="F4" s="3" t="inlineStr">
        <is>
          <t xml:space="preserve">FY2025A</t>
        </is>
      </c>
      <c r="G4" s="3" t="inlineStr">
        <is>
          <t xml:space="preserve">Q1 FY26</t>
        </is>
      </c>
      <c r="H4" s="3" t="inlineStr">
        <is>
          <t xml:space="preserve">Q2 FY26</t>
        </is>
      </c>
      <c r="I4" s="3" t="inlineStr">
        <is>
          <t xml:space="preserve">Q3 FY26</t>
        </is>
      </c>
      <c r="J4" s="3" t="inlineStr">
        <is>
          <t xml:space="preserve">Q4 FY26E</t>
        </is>
      </c>
      <c r="K4" s="3" t="inlineStr">
        <is>
          <t xml:space="preserve">FY2026E</t>
        </is>
      </c>
      <c r="L4" s="3" t="inlineStr">
        <is>
          <t xml:space="preserve">Q1 FY27E</t>
        </is>
      </c>
      <c r="M4" s="3" t="inlineStr">
        <is>
          <t xml:space="preserve">Q2 FY27E</t>
        </is>
      </c>
      <c r="N4" s="3" t="inlineStr">
        <is>
          <t xml:space="preserve">Q3 FY27E</t>
        </is>
      </c>
      <c r="O4" s="3" t="inlineStr">
        <is>
          <t xml:space="preserve">Q4 FY27E</t>
        </is>
      </c>
      <c r="P4" s="3" t="inlineStr">
        <is>
          <t xml:space="preserve">FY2027E</t>
        </is>
      </c>
      <c r="Q4" s="3" t="inlineStr">
        <is>
          <t xml:space="preserve">Q1 FY28E</t>
        </is>
      </c>
      <c r="R4" s="3" t="inlineStr">
        <is>
          <t xml:space="preserve">Q2 FY28E</t>
        </is>
      </c>
      <c r="S4" s="3" t="inlineStr">
        <is>
          <t xml:space="preserve">Q3 FY28E</t>
        </is>
      </c>
      <c r="T4" s="3" t="inlineStr">
        <is>
          <t xml:space="preserve">Q4 FY28E</t>
        </is>
      </c>
      <c r="U4" s="3" t="inlineStr">
        <is>
          <t xml:space="preserve">FY2028E</t>
        </is>
      </c>
    </row>
    <row r="5" ht="15" customHeight="1">
      <c r="A5" s="3"/>
      <c r="B5" s="3" t="inlineStr">
        <is>
          <t xml:space="preserve">Dec-24 (A)</t>
        </is>
      </c>
      <c r="C5" s="3" t="inlineStr">
        <is>
          <t xml:space="preserve">Mar-25 (A)</t>
        </is>
      </c>
      <c r="D5" s="3" t="inlineStr">
        <is>
          <t xml:space="preserve">Jun-25 (A)</t>
        </is>
      </c>
      <c r="E5" s="3" t="inlineStr">
        <is>
          <t xml:space="preserve">Sep-25 (A)</t>
        </is>
      </c>
      <c r="F5" s="3" t="inlineStr">
        <is>
          <t xml:space="preserve">FY Sep-25</t>
        </is>
      </c>
      <c r="G5" s="3" t="inlineStr">
        <is>
          <t xml:space="preserve">Dec-25 (A)</t>
        </is>
      </c>
      <c r="H5" s="3" t="inlineStr">
        <is>
          <t xml:space="preserve">Mar-26 (A)</t>
        </is>
      </c>
      <c r="I5" s="3" t="inlineStr">
        <is>
          <t xml:space="preserve">Jun-26 (A)</t>
        </is>
      </c>
      <c r="J5" s="3" t="inlineStr">
        <is>
          <t xml:space="preserve">Sep-26 (E)</t>
        </is>
      </c>
      <c r="K5" s="3" t="inlineStr">
        <is>
          <t xml:space="preserve">FY Sep-26</t>
        </is>
      </c>
      <c r="L5" s="3" t="inlineStr">
        <is>
          <t xml:space="preserve">Dec-26 (E)</t>
        </is>
      </c>
      <c r="M5" s="3" t="inlineStr">
        <is>
          <t xml:space="preserve">Mar-27 (E)</t>
        </is>
      </c>
      <c r="N5" s="3" t="inlineStr">
        <is>
          <t xml:space="preserve">Jun-27 (E)</t>
        </is>
      </c>
      <c r="O5" s="3" t="inlineStr">
        <is>
          <t xml:space="preserve">Sep-27 (E)</t>
        </is>
      </c>
      <c r="P5" s="3" t="inlineStr">
        <is>
          <t xml:space="preserve">FY Sep-27</t>
        </is>
      </c>
      <c r="Q5" s="3" t="inlineStr">
        <is>
          <t xml:space="preserve">Dec-27 (E)</t>
        </is>
      </c>
      <c r="R5" s="3" t="inlineStr">
        <is>
          <t xml:space="preserve">Mar-28 (E)</t>
        </is>
      </c>
      <c r="S5" s="3" t="inlineStr">
        <is>
          <t xml:space="preserve">Jun-28 (E)</t>
        </is>
      </c>
      <c r="T5" s="3" t="inlineStr">
        <is>
          <t xml:space="preserve">Sep-28 (E)</t>
        </is>
      </c>
      <c r="U5" s="3" t="inlineStr">
        <is>
          <t xml:space="preserve">FY Sep-28</t>
        </is>
      </c>
    </row>
    <row r="7">
      <c r="A7" s="4" t="inlineStr">
        <is>
          <t xml:space="preserve">REVENUE BY SEGMENT</t>
        </is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>
      <c r="A8" t="inlineStr">
        <is>
          <t xml:space="preserve">   iPhone</t>
        </is>
      </c>
      <c r="B8" s="12">
        <v>69138</v>
      </c>
      <c r="C8" s="12">
        <v>46841</v>
      </c>
      <c r="D8" s="12">
        <v>44582</v>
      </c>
      <c r="E8" s="12">
        <v>49025</v>
      </c>
      <c r="F8" s="13">
        <f>SUM(B8:E8)</f>
        <v>209586</v>
      </c>
      <c r="G8" s="12">
        <v>85269</v>
      </c>
      <c r="H8" s="12">
        <v>56994</v>
      </c>
      <c r="I8" s="12">
        <v>54252</v>
      </c>
      <c r="J8" s="13">
        <f>E8*(1+J45)</f>
        <v>55888.50000000001</v>
      </c>
      <c r="K8" s="13">
        <f>SUM(G8:J8)</f>
        <v>252403.5</v>
      </c>
      <c r="L8" s="13">
        <f>G8*(1+L45)</f>
        <v>92090.52</v>
      </c>
      <c r="M8" s="13">
        <f>H8*(1+M45)</f>
        <v>60983.58</v>
      </c>
      <c r="N8" s="13">
        <f>I8*(1+N45)</f>
        <v>58592.16</v>
      </c>
      <c r="O8" s="13">
        <f>J8*(1+O45)</f>
        <v>61477.35000000001</v>
      </c>
      <c r="P8" s="13">
        <f>SUM(L8:O8)</f>
        <v>273143.61000000004</v>
      </c>
      <c r="Q8" s="13">
        <f>L8*(1+Q45)</f>
        <v>97615.9512</v>
      </c>
      <c r="R8" s="13">
        <f>M8*(1+R45)</f>
        <v>64642.594800000006</v>
      </c>
      <c r="S8" s="13">
        <f>N8*(1+S45)</f>
        <v>62107.689600000005</v>
      </c>
      <c r="T8" s="13">
        <f>O8*(1+T45)</f>
        <v>65165.991000000016</v>
      </c>
      <c r="U8" s="13">
        <f>SUM(Q8:T8)</f>
        <v>289532.22660000005</v>
      </c>
    </row>
    <row r="9">
      <c r="A9" t="inlineStr">
        <is>
          <t xml:space="preserve">   Mac</t>
        </is>
      </c>
      <c r="B9" s="12">
        <v>8987</v>
      </c>
      <c r="C9" s="12">
        <v>7949</v>
      </c>
      <c r="D9" s="12">
        <v>8046</v>
      </c>
      <c r="E9" s="12">
        <v>8726</v>
      </c>
      <c r="F9" s="13">
        <f>SUM(B9:E9)</f>
        <v>33708</v>
      </c>
      <c r="G9" s="12">
        <v>8386</v>
      </c>
      <c r="H9" s="12">
        <v>8399</v>
      </c>
      <c r="I9" s="12">
        <v>10352</v>
      </c>
      <c r="J9" s="13">
        <f>E9*(1+J46)</f>
        <v>9249.56</v>
      </c>
      <c r="K9" s="13">
        <f>SUM(G9:J9)</f>
        <v>36386.56</v>
      </c>
      <c r="L9" s="13">
        <f>G9*(1+L46)</f>
        <v>8805.300000000001</v>
      </c>
      <c r="M9" s="13">
        <f>H9*(1+M46)</f>
        <v>8818.95</v>
      </c>
      <c r="N9" s="13">
        <f>I9*(1+N46)</f>
        <v>10973.12</v>
      </c>
      <c r="O9" s="13">
        <f>J9*(1+O46)</f>
        <v>9804.533600000002</v>
      </c>
      <c r="P9" s="13">
        <f>SUM(L9:O9)</f>
        <v>38401.903600000005</v>
      </c>
      <c r="Q9" s="13">
        <f>L9*(1+Q46)</f>
        <v>9245.565000000002</v>
      </c>
      <c r="R9" s="13">
        <f>M9*(1+R46)</f>
        <v>9259.8975</v>
      </c>
      <c r="S9" s="13">
        <f>N9*(1+S46)</f>
        <v>11521.776000000002</v>
      </c>
      <c r="T9" s="13">
        <f>O9*(1+T46)</f>
        <v>10294.760280000002</v>
      </c>
      <c r="U9" s="13">
        <f>SUM(Q9:T9)</f>
        <v>40321.99878000001</v>
      </c>
    </row>
    <row r="10">
      <c r="A10" t="inlineStr">
        <is>
          <t xml:space="preserve">   iPad</t>
        </is>
      </c>
      <c r="B10" s="12">
        <v>8088</v>
      </c>
      <c r="C10" s="12">
        <v>6402</v>
      </c>
      <c r="D10" s="12">
        <v>6581</v>
      </c>
      <c r="E10" s="12">
        <v>6952</v>
      </c>
      <c r="F10" s="13">
        <f>SUM(B10:E10)</f>
        <v>28023</v>
      </c>
      <c r="G10" s="12">
        <v>8595</v>
      </c>
      <c r="H10" s="12">
        <v>6914</v>
      </c>
      <c r="I10" s="12">
        <v>6191</v>
      </c>
      <c r="J10" s="13">
        <f>E10*(1+J47)</f>
        <v>6395.84</v>
      </c>
      <c r="K10" s="13">
        <f>SUM(G10:J10)</f>
        <v>28095.84</v>
      </c>
      <c r="L10" s="13">
        <f>G10*(1+L47)</f>
        <v>8852.85</v>
      </c>
      <c r="M10" s="13">
        <f>H10*(1+M47)</f>
        <v>7121.42</v>
      </c>
      <c r="N10" s="13">
        <f>I10*(1+N47)</f>
        <v>6438.64</v>
      </c>
      <c r="O10" s="13">
        <f>J10*(1+O47)</f>
        <v>6715.6320000000005</v>
      </c>
      <c r="P10" s="13">
        <f>SUM(L10:O10)</f>
        <v>29128.542</v>
      </c>
      <c r="Q10" s="13">
        <f>L10*(1+Q47)</f>
        <v>9118.4355</v>
      </c>
      <c r="R10" s="13">
        <f>M10*(1+R47)</f>
        <v>7335.0626</v>
      </c>
      <c r="S10" s="13">
        <f>N10*(1+S47)</f>
        <v>6631.7992</v>
      </c>
      <c r="T10" s="13">
        <f>O10*(1+T47)</f>
        <v>6917.100960000001</v>
      </c>
      <c r="U10" s="13">
        <f>SUM(Q10:T10)</f>
        <v>30002.39826</v>
      </c>
    </row>
    <row r="11">
      <c r="A11" t="inlineStr">
        <is>
          <t xml:space="preserve">   Wearables, Home &amp; Accessories</t>
        </is>
      </c>
      <c r="B11" s="12">
        <v>11747</v>
      </c>
      <c r="C11" s="12">
        <v>7522</v>
      </c>
      <c r="D11" s="12">
        <v>7404</v>
      </c>
      <c r="E11" s="12">
        <v>9013</v>
      </c>
      <c r="F11" s="13">
        <f>SUM(B11:E11)</f>
        <v>35686</v>
      </c>
      <c r="G11" s="12">
        <v>11493</v>
      </c>
      <c r="H11" s="12">
        <v>7901</v>
      </c>
      <c r="I11" s="12">
        <v>7883</v>
      </c>
      <c r="J11" s="13">
        <f>E11*(1+J48)</f>
        <v>9193.26</v>
      </c>
      <c r="K11" s="13">
        <f>SUM(G11:J11)</f>
        <v>36470.26</v>
      </c>
      <c r="L11" s="13">
        <f>G11*(1+L48)</f>
        <v>11952.72</v>
      </c>
      <c r="M11" s="13">
        <f>H11*(1+M48)</f>
        <v>8217.04</v>
      </c>
      <c r="N11" s="13">
        <f>I11*(1+N48)</f>
        <v>8198.32</v>
      </c>
      <c r="O11" s="13">
        <f>J11*(1+O48)</f>
        <v>9560.9904</v>
      </c>
      <c r="P11" s="13">
        <f>SUM(L11:O11)</f>
        <v>37929.0704</v>
      </c>
      <c r="Q11" s="13">
        <f>L11*(1+Q48)</f>
        <v>12430.8288</v>
      </c>
      <c r="R11" s="13">
        <f>M11*(1+R48)</f>
        <v>8545.7216</v>
      </c>
      <c r="S11" s="13">
        <f>N11*(1+S48)</f>
        <v>8526.2528</v>
      </c>
      <c r="T11" s="13">
        <f>O11*(1+T48)</f>
        <v>9943.430016</v>
      </c>
      <c r="U11" s="13">
        <f>SUM(Q11:T11)</f>
        <v>39446.233216</v>
      </c>
    </row>
    <row r="12">
      <c r="A12" t="inlineStr">
        <is>
          <t xml:space="preserve">   Services</t>
        </is>
      </c>
      <c r="B12" s="12">
        <v>26340</v>
      </c>
      <c r="C12" s="12">
        <v>26645</v>
      </c>
      <c r="D12" s="12">
        <v>27423</v>
      </c>
      <c r="E12" s="12">
        <v>28750</v>
      </c>
      <c r="F12" s="13">
        <f>SUM(B12:E12)</f>
        <v>109158</v>
      </c>
      <c r="G12" s="12">
        <v>30013</v>
      </c>
      <c r="H12" s="12">
        <v>30976</v>
      </c>
      <c r="I12" s="12">
        <v>30739</v>
      </c>
      <c r="J12" s="13">
        <f>E12*(1+J49)</f>
        <v>32200.000000000004</v>
      </c>
      <c r="K12" s="13">
        <f>SUM(G12:J12)</f>
        <v>123928</v>
      </c>
      <c r="L12" s="13">
        <f>G12*(1+L49)</f>
        <v>33914.689999999995</v>
      </c>
      <c r="M12" s="13">
        <f>H12*(1+M49)</f>
        <v>35002.88</v>
      </c>
      <c r="N12" s="13">
        <f>I12*(1+N49)</f>
        <v>34735.07</v>
      </c>
      <c r="O12" s="13">
        <f>J12*(1+O49)</f>
        <v>36386</v>
      </c>
      <c r="P12" s="13">
        <f>SUM(L12:O12)</f>
        <v>140038.63999999998</v>
      </c>
      <c r="Q12" s="13">
        <f>L12*(1+Q49)</f>
        <v>37984.4528</v>
      </c>
      <c r="R12" s="13">
        <f>M12*(1+R49)</f>
        <v>39203.2256</v>
      </c>
      <c r="S12" s="13">
        <f>N12*(1+S49)</f>
        <v>38903.2784</v>
      </c>
      <c r="T12" s="13">
        <f>O12*(1+T49)</f>
        <v>40752.32000000001</v>
      </c>
      <c r="U12" s="13">
        <f>SUM(Q12:T12)</f>
        <v>156843.27680000002</v>
      </c>
    </row>
    <row r="13">
      <c r="A13" s="6" t="inlineStr">
        <is>
          <t xml:space="preserve">Total Net Sales</t>
        </is>
      </c>
      <c r="B13" s="7">
        <f>SUM(B8:B12)</f>
        <v>124300</v>
      </c>
      <c r="C13" s="7">
        <f>SUM(C8:C12)</f>
        <v>95359</v>
      </c>
      <c r="D13" s="7">
        <f>SUM(D8:D12)</f>
        <v>94036</v>
      </c>
      <c r="E13" s="7">
        <f>SUM(E8:E12)</f>
        <v>102466</v>
      </c>
      <c r="F13" s="7">
        <f>SUM(F8:F12)</f>
        <v>416161</v>
      </c>
      <c r="G13" s="7">
        <f>SUM(G8:G12)</f>
        <v>143756</v>
      </c>
      <c r="H13" s="7">
        <f>SUM(H8:H12)</f>
        <v>111184</v>
      </c>
      <c r="I13" s="7">
        <f>SUM(I8:I12)</f>
        <v>109417</v>
      </c>
      <c r="J13" s="7">
        <f>SUM(J8:J12)</f>
        <v>112927.16</v>
      </c>
      <c r="K13" s="7">
        <f>SUM(K8:K12)</f>
        <v>477284.16</v>
      </c>
      <c r="L13" s="7">
        <f>SUM(L8:L12)</f>
        <v>155616.08000000002</v>
      </c>
      <c r="M13" s="7">
        <f>SUM(M8:M12)</f>
        <v>120143.87</v>
      </c>
      <c r="N13" s="7">
        <f>SUM(N8:N12)</f>
        <v>118937.31</v>
      </c>
      <c r="O13" s="7">
        <f>SUM(O8:O12)</f>
        <v>123944.506</v>
      </c>
      <c r="P13" s="7">
        <f>SUM(P8:P12)</f>
        <v>518641.76600000006</v>
      </c>
      <c r="Q13" s="7">
        <f>SUM(Q8:Q12)</f>
        <v>166395.23330000002</v>
      </c>
      <c r="R13" s="7">
        <f>SUM(R8:R12)</f>
        <v>128986.5021</v>
      </c>
      <c r="S13" s="7">
        <f>SUM(S8:S12)</f>
        <v>127690.796</v>
      </c>
      <c r="T13" s="7">
        <f>SUM(T8:T12)</f>
        <v>133073.60225600004</v>
      </c>
      <c r="U13" s="7">
        <f>SUM(U8:U12)</f>
        <v>556146.1336560001</v>
      </c>
    </row>
    <row r="14">
      <c r="A14" s="9" t="inlineStr">
        <is>
          <t xml:space="preserve">   YoY Growth %</t>
        </is>
      </c>
      <c r="B14" s="10"/>
      <c r="C14" s="10"/>
      <c r="D14" s="10"/>
      <c r="E14" s="10"/>
      <c r="F14" s="10">
        <f>F13/391035-1</f>
        <v>0.06425511782832749</v>
      </c>
      <c r="G14" s="10">
        <f>G13/B13-1</f>
        <v>0.15652453740949324</v>
      </c>
      <c r="H14" s="10">
        <f>H13/C13-1</f>
        <v>0.16595182415922993</v>
      </c>
      <c r="I14" s="10">
        <f>I13/D13-1</f>
        <v>0.16356501765281384</v>
      </c>
      <c r="J14" s="10">
        <f>J13/E13-1</f>
        <v>0.10209396287549044</v>
      </c>
      <c r="K14" s="10">
        <f>K13/F13-1</f>
        <v>0.14687383008018529</v>
      </c>
      <c r="L14" s="10">
        <f>L13/G13-1</f>
        <v>0.08250146080859255</v>
      </c>
      <c r="M14" s="10">
        <f>M13/H13-1</f>
        <v>0.08058596560656195</v>
      </c>
      <c r="N14" s="10">
        <f>N13/I13-1</f>
        <v>0.08700942266741007</v>
      </c>
      <c r="O14" s="10">
        <f>O13/J13-1</f>
        <v>0.09756152550015428</v>
      </c>
      <c r="P14" s="10">
        <f>P13/K13-1</f>
        <v>0.08665195593333763</v>
      </c>
      <c r="Q14" s="10">
        <f>Q13/L13-1</f>
        <v>0.06926760589265579</v>
      </c>
      <c r="R14" s="10">
        <f>R13/M13-1</f>
        <v>0.07360036013489513</v>
      </c>
      <c r="S14" s="10">
        <f>S13/N13-1</f>
        <v>0.07359747752828794</v>
      </c>
      <c r="T14" s="10">
        <f>T13/O13-1</f>
        <v>0.07365470685727726</v>
      </c>
      <c r="U14" s="10">
        <f>U13/P13-1</f>
        <v>0.07231266379730794</v>
      </c>
    </row>
    <row r="1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</row>
    <row r="16">
      <c r="A16" s="4" t="inlineStr">
        <is>
          <t xml:space="preserve">COST &amp; GROSS PROFIT</t>
        </is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>
      <c r="A17" t="inlineStr">
        <is>
          <t xml:space="preserve">Cost of Sales</t>
        </is>
      </c>
      <c r="B17" s="13">
        <f>B13-B18</f>
        <v>66025</v>
      </c>
      <c r="C17" s="13">
        <f>C13-C18</f>
        <v>50492</v>
      </c>
      <c r="D17" s="13">
        <f>D13-D18</f>
        <v>50318</v>
      </c>
      <c r="E17" s="13">
        <f>E13-E18</f>
        <v>54125</v>
      </c>
      <c r="F17" s="13">
        <f>F13-F18</f>
        <v>220960</v>
      </c>
      <c r="G17" s="13">
        <f>G13-G18</f>
        <v>74525</v>
      </c>
      <c r="H17" s="13">
        <f>H13-H18</f>
        <v>56403</v>
      </c>
      <c r="I17" s="13">
        <f>I13-I18</f>
        <v>54647</v>
      </c>
      <c r="J17" s="13">
        <f>J13-J18</f>
        <v>59286.759000000005</v>
      </c>
      <c r="K17" s="13">
        <f>K13-K18</f>
        <v>244861.759</v>
      </c>
      <c r="L17" s="13">
        <f>L13-L18</f>
        <v>82476.52240000002</v>
      </c>
      <c r="M17" s="13">
        <f>M13-M18</f>
        <v>63075.53175</v>
      </c>
      <c r="N17" s="13">
        <f>N13-N18</f>
        <v>61252.71465</v>
      </c>
      <c r="O17" s="13">
        <f>O13-O18</f>
        <v>64451.14312000001</v>
      </c>
      <c r="P17" s="13">
        <f>P13-P18</f>
        <v>271255.9119200001</v>
      </c>
      <c r="Q17" s="13">
        <f>Q13-Q18</f>
        <v>87357.49748250001</v>
      </c>
      <c r="R17" s="13">
        <f>R13-R18</f>
        <v>67072.981092</v>
      </c>
      <c r="S17" s="13">
        <f>S13-S18</f>
        <v>65122.305960000005</v>
      </c>
      <c r="T17" s="13">
        <f>T13-T18</f>
        <v>68532.90516184003</v>
      </c>
      <c r="U17" s="13">
        <f>U13-U18</f>
        <v>288085.6896963401</v>
      </c>
    </row>
    <row r="18">
      <c r="A18" s="6" t="inlineStr">
        <is>
          <t xml:space="preserve">Gross Profit</t>
        </is>
      </c>
      <c r="B18" s="8">
        <v>58275</v>
      </c>
      <c r="C18" s="8">
        <v>44867</v>
      </c>
      <c r="D18" s="8">
        <v>43718</v>
      </c>
      <c r="E18" s="8">
        <v>48341</v>
      </c>
      <c r="F18" s="7">
        <f>SUM(B18:E18)</f>
        <v>195201</v>
      </c>
      <c r="G18" s="8">
        <v>69231</v>
      </c>
      <c r="H18" s="8">
        <v>54781</v>
      </c>
      <c r="I18" s="8">
        <v>54770</v>
      </c>
      <c r="J18" s="7">
        <f>J13*J50</f>
        <v>53640.401</v>
      </c>
      <c r="K18" s="7">
        <f>SUM(G18:J18)</f>
        <v>232422.401</v>
      </c>
      <c r="L18" s="7">
        <f>L13*L50</f>
        <v>73139.5576</v>
      </c>
      <c r="M18" s="7">
        <f>M13*M50</f>
        <v>57068.33824999999</v>
      </c>
      <c r="N18" s="7">
        <f>N13*N50</f>
        <v>57684.59535</v>
      </c>
      <c r="O18" s="7">
        <f>O13*O50</f>
        <v>59493.36288</v>
      </c>
      <c r="P18" s="7">
        <f>SUM(L18:O18)</f>
        <v>247385.85408</v>
      </c>
      <c r="Q18" s="7">
        <f>Q13*Q50</f>
        <v>79037.73581750001</v>
      </c>
      <c r="R18" s="7">
        <f>R13*R50</f>
        <v>61913.521008</v>
      </c>
      <c r="S18" s="7">
        <f>S13*S50</f>
        <v>62568.49004</v>
      </c>
      <c r="T18" s="7">
        <f>T13*T50</f>
        <v>64540.697094160016</v>
      </c>
      <c r="U18" s="7">
        <f>SUM(Q18:T18)</f>
        <v>268060.44395966</v>
      </c>
    </row>
    <row r="19">
      <c r="A19" s="9" t="inlineStr">
        <is>
          <t xml:space="preserve">   Gross Margin %</t>
        </is>
      </c>
      <c r="B19" s="10">
        <f>B18/B13</f>
        <v>0.4688254223652454</v>
      </c>
      <c r="C19" s="10">
        <f>C18/C13</f>
        <v>0.47050619238876246</v>
      </c>
      <c r="D19" s="10">
        <f>D18/D13</f>
        <v>0.4649070568718363</v>
      </c>
      <c r="E19" s="10">
        <f>E18/E13</f>
        <v>0.47177600374758455</v>
      </c>
      <c r="F19" s="10">
        <f>F18/F13</f>
        <v>0.4690516410716045</v>
      </c>
      <c r="G19" s="10">
        <f>G18/G13</f>
        <v>0.4815868555051615</v>
      </c>
      <c r="H19" s="10">
        <f>H18/H13</f>
        <v>0.4927057850050367</v>
      </c>
      <c r="I19" s="10">
        <f>I18/I13</f>
        <v>0.500562069879452</v>
      </c>
      <c r="J19" s="10">
        <f>J18/J13</f>
        <v>0.475</v>
      </c>
      <c r="K19" s="10">
        <f>K18/K13</f>
        <v>0.486968603776836</v>
      </c>
      <c r="L19" s="10">
        <f>L18/L13</f>
        <v>0.47</v>
      </c>
      <c r="M19" s="10">
        <f>M18/M13</f>
        <v>0.475</v>
      </c>
      <c r="N19" s="10">
        <f>N18/N13</f>
        <v>0.485</v>
      </c>
      <c r="O19" s="10">
        <f>O18/O13</f>
        <v>0.48</v>
      </c>
      <c r="P19" s="10">
        <f>P18/P13</f>
        <v>0.4769879140045963</v>
      </c>
      <c r="Q19" s="10">
        <f>Q18/Q13</f>
        <v>0.475</v>
      </c>
      <c r="R19" s="10">
        <f>R18/R13</f>
        <v>0.48</v>
      </c>
      <c r="S19" s="10">
        <f>S18/S13</f>
        <v>0.49</v>
      </c>
      <c r="T19" s="10">
        <f>T18/T13</f>
        <v>0.485</v>
      </c>
      <c r="U19" s="10">
        <f>U18/U13</f>
        <v>0.4819964173759171</v>
      </c>
    </row>
    <row r="20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>
      <c r="A21" s="4" t="inlineStr">
        <is>
          <t xml:space="preserve">OPERATING EXPENSES</t>
        </is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>
      <c r="A22" t="inlineStr">
        <is>
          <t xml:space="preserve">Research &amp; Development</t>
        </is>
      </c>
      <c r="B22" s="13">
        <f>B24-B23</f>
        <v>7114.9</v>
      </c>
      <c r="C22" s="13">
        <f>C24-C23</f>
        <v>8888.947</v>
      </c>
      <c r="D22" s="13">
        <f>D24-D23</f>
        <v>9215.588</v>
      </c>
      <c r="E22" s="13">
        <f>E24-E23</f>
        <v>9048.777999999998</v>
      </c>
      <c r="F22" s="13">
        <f>F24-F23</f>
        <v>34268.212999999996</v>
      </c>
      <c r="G22" s="13">
        <f>G24-G23</f>
        <v>8747.348</v>
      </c>
      <c r="H22" s="13">
        <f>H24-H23</f>
        <v>11446.672</v>
      </c>
      <c r="I22" s="13">
        <f>I24-I23</f>
        <v>11744.061</v>
      </c>
      <c r="J22" s="13">
        <f>J24-J23</f>
        <v>11689.820279999998</v>
      </c>
      <c r="K22" s="13">
        <f>K24-K23</f>
        <v>43627.90128</v>
      </c>
      <c r="L22" s="13">
        <f>L24-L23</f>
        <v>9790.62264</v>
      </c>
      <c r="M22" s="13">
        <f>M24-M23</f>
        <v>12547.000710000004</v>
      </c>
      <c r="N22" s="13">
        <f>N24-N23</f>
        <v>12822.95023</v>
      </c>
      <c r="O22" s="13">
        <f>O24-O23</f>
        <v>12684.692698</v>
      </c>
      <c r="P22" s="13">
        <f>P24-P23</f>
        <v>47845.266278</v>
      </c>
      <c r="Q22" s="13">
        <f>Q24-Q23</f>
        <v>10685.7713689</v>
      </c>
      <c r="R22" s="13">
        <f>R24-R23</f>
        <v>13602.275559300004</v>
      </c>
      <c r="S22" s="13">
        <f>S24-S23</f>
        <v>13899.806668</v>
      </c>
      <c r="T22" s="13">
        <f>T24-T23</f>
        <v>13752.161216848</v>
      </c>
      <c r="U22" s="13">
        <f>U24-U23</f>
        <v>51940.014813048016</v>
      </c>
    </row>
    <row r="23">
      <c r="A23" t="inlineStr">
        <is>
          <t xml:space="preserve">Selling, General &amp; Administrative</t>
        </is>
      </c>
      <c r="B23" s="13">
        <f>B13*B51</f>
        <v>8328.1</v>
      </c>
      <c r="C23" s="13">
        <f>C13*C51</f>
        <v>6389.053000000001</v>
      </c>
      <c r="D23" s="13">
        <f>D13*D51</f>
        <v>6300.412</v>
      </c>
      <c r="E23" s="13">
        <f>E13*E51</f>
        <v>6865.222000000001</v>
      </c>
      <c r="F23" s="13">
        <f>SUM(B23:E23)</f>
        <v>27882.787000000004</v>
      </c>
      <c r="G23" s="13">
        <f>G13*G51</f>
        <v>9631.652</v>
      </c>
      <c r="H23" s="13">
        <f>H13*H51</f>
        <v>7449.328</v>
      </c>
      <c r="I23" s="13">
        <f>I13*I51</f>
        <v>7330.939</v>
      </c>
      <c r="J23" s="13">
        <f>J13*J51</f>
        <v>7566.119720000001</v>
      </c>
      <c r="K23" s="13">
        <f>SUM(G23:J23)</f>
        <v>31978.038720000004</v>
      </c>
      <c r="L23" s="13">
        <f>L13*L51</f>
        <v>10426.277360000002</v>
      </c>
      <c r="M23" s="13">
        <f>M13*M51</f>
        <v>8049.63929</v>
      </c>
      <c r="N23" s="13">
        <f>N13*N51</f>
        <v>7968.79977</v>
      </c>
      <c r="O23" s="13">
        <f>O13*O51</f>
        <v>8304.281902</v>
      </c>
      <c r="P23" s="13">
        <f>SUM(L23:O23)</f>
        <v>34748.99832200001</v>
      </c>
      <c r="Q23" s="13">
        <f>Q13*Q51</f>
        <v>11148.480631100005</v>
      </c>
      <c r="R23" s="13">
        <f>R13*R51</f>
        <v>8642.095640700001</v>
      </c>
      <c r="S23" s="13">
        <f>S13*S51</f>
        <v>8555.283332</v>
      </c>
      <c r="T23" s="13">
        <f>T13*T51</f>
        <v>8915.931351152003</v>
      </c>
      <c r="U23" s="13">
        <f>SUM(Q23:T23)</f>
        <v>37261.790954952005</v>
      </c>
    </row>
    <row r="24">
      <c r="A24" t="inlineStr">
        <is>
          <t xml:space="preserve">Total Operating Expenses</t>
        </is>
      </c>
      <c r="B24" s="13">
        <f>B18-B26</f>
        <v>15443</v>
      </c>
      <c r="C24" s="13">
        <f>C18-C26</f>
        <v>15278</v>
      </c>
      <c r="D24" s="13">
        <f>D18-D26</f>
        <v>15516</v>
      </c>
      <c r="E24" s="13">
        <f>E18-E26</f>
        <v>15914</v>
      </c>
      <c r="F24" s="13">
        <f>SUM(B24:E24)</f>
        <v>62151</v>
      </c>
      <c r="G24" s="13">
        <f>G18-G26</f>
        <v>18379</v>
      </c>
      <c r="H24" s="13">
        <f>H18-H26</f>
        <v>18896</v>
      </c>
      <c r="I24" s="13">
        <f>I18-I26</f>
        <v>19075</v>
      </c>
      <c r="J24" s="13">
        <f>E24*(1+J52)</f>
        <v>19255.94</v>
      </c>
      <c r="K24" s="13">
        <f>SUM(G24:J24)</f>
        <v>75605.94</v>
      </c>
      <c r="L24" s="13">
        <f>G24*(1+L52)</f>
        <v>20216.9</v>
      </c>
      <c r="M24" s="13">
        <f>H24*(1+M52)</f>
        <v>20596.640000000003</v>
      </c>
      <c r="N24" s="13">
        <f>I24*(1+N52)</f>
        <v>20791.75</v>
      </c>
      <c r="O24" s="13">
        <f>J24*(1+O52)</f>
        <v>20988.9746</v>
      </c>
      <c r="P24" s="13">
        <f>SUM(L24:O24)</f>
        <v>82594.26460000001</v>
      </c>
      <c r="Q24" s="13">
        <f>L24*(1+Q52)</f>
        <v>21834.252000000004</v>
      </c>
      <c r="R24" s="13">
        <f>M24*(1+R52)</f>
        <v>22244.371200000005</v>
      </c>
      <c r="S24" s="13">
        <f>N24*(1+S52)</f>
        <v>22455.09</v>
      </c>
      <c r="T24" s="13">
        <f>O24*(1+T52)</f>
        <v>22668.092568000004</v>
      </c>
      <c r="U24" s="13">
        <f>SUM(Q24:T24)</f>
        <v>89201.80576800002</v>
      </c>
    </row>
    <row r="2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</row>
    <row r="26">
      <c r="A26" s="6" t="inlineStr">
        <is>
          <t xml:space="preserve">Operating Income</t>
        </is>
      </c>
      <c r="B26" s="8">
        <v>42832</v>
      </c>
      <c r="C26" s="8">
        <v>29589</v>
      </c>
      <c r="D26" s="8">
        <v>28202</v>
      </c>
      <c r="E26" s="8">
        <v>32427</v>
      </c>
      <c r="F26" s="7">
        <f>SUM(B26:E26)</f>
        <v>133050</v>
      </c>
      <c r="G26" s="8">
        <v>50852</v>
      </c>
      <c r="H26" s="8">
        <v>35885</v>
      </c>
      <c r="I26" s="8">
        <v>35695</v>
      </c>
      <c r="J26" s="7">
        <f>J18-J24</f>
        <v>34384.460999999996</v>
      </c>
      <c r="K26" s="7">
        <f>SUM(G26:J26)</f>
        <v>156816.461</v>
      </c>
      <c r="L26" s="7">
        <f>L18-L24</f>
        <v>52922.6576</v>
      </c>
      <c r="M26" s="7">
        <f>M18-M24</f>
        <v>36471.69824999999</v>
      </c>
      <c r="N26" s="7">
        <f>N18-N24</f>
        <v>36892.84535</v>
      </c>
      <c r="O26" s="7">
        <f>O18-O24</f>
        <v>38504.38828</v>
      </c>
      <c r="P26" s="7">
        <f>SUM(L26:O26)</f>
        <v>164791.58947999997</v>
      </c>
      <c r="Q26" s="7">
        <f>Q18-Q24</f>
        <v>57203.4838175</v>
      </c>
      <c r="R26" s="7">
        <f>R18-R24</f>
        <v>39669.149808</v>
      </c>
      <c r="S26" s="7">
        <f>S18-S24</f>
        <v>40113.40003999999</v>
      </c>
      <c r="T26" s="7">
        <f>T18-T24</f>
        <v>41872.60452616001</v>
      </c>
      <c r="U26" s="7">
        <f>SUM(Q26:T26)</f>
        <v>178858.63819166</v>
      </c>
    </row>
    <row r="27">
      <c r="A27" s="9" t="inlineStr">
        <is>
          <t xml:space="preserve">   Operating Margin %</t>
        </is>
      </c>
      <c r="B27" s="10">
        <f>B26/B13</f>
        <v>0.34458567980691873</v>
      </c>
      <c r="C27" s="10">
        <f>C26/C13</f>
        <v>0.31029058610094484</v>
      </c>
      <c r="D27" s="10">
        <f>D26/D13</f>
        <v>0.2999064188183249</v>
      </c>
      <c r="E27" s="10">
        <f>E26/E13</f>
        <v>0.3164659496808698</v>
      </c>
      <c r="F27" s="10">
        <f>F26/F13</f>
        <v>0.31970799762591884</v>
      </c>
      <c r="G27" s="10">
        <f>G26/G13</f>
        <v>0.35373827875010433</v>
      </c>
      <c r="H27" s="10">
        <f>H26/H13</f>
        <v>0.32275327385235286</v>
      </c>
      <c r="I27" s="10">
        <f>I26/I13</f>
        <v>0.3262290137729969</v>
      </c>
      <c r="J27" s="10">
        <f>J26/J13</f>
        <v>0.304483536113013</v>
      </c>
      <c r="K27" s="10">
        <f>K26/K13</f>
        <v>0.3285599526286395</v>
      </c>
      <c r="L27" s="10">
        <f>L26/L13</f>
        <v>0.3400847624487135</v>
      </c>
      <c r="M27" s="10">
        <f>M26/M13</f>
        <v>0.30356686737325833</v>
      </c>
      <c r="N27" s="10">
        <f>N26/N13</f>
        <v>0.3101873192692856</v>
      </c>
      <c r="O27" s="10">
        <f>O26/O13</f>
        <v>0.3106582899285588</v>
      </c>
      <c r="P27" s="10">
        <f>P26/P13</f>
        <v>0.31773682777410556</v>
      </c>
      <c r="Q27" s="10">
        <f>Q26/Q13</f>
        <v>0.3437807843591635</v>
      </c>
      <c r="R27" s="10">
        <f>R26/R13</f>
        <v>0.3075449691413874</v>
      </c>
      <c r="S27" s="10">
        <f>S26/S13</f>
        <v>0.31414480367089254</v>
      </c>
      <c r="T27" s="10">
        <f>T26/T13</f>
        <v>0.3146574813959547</v>
      </c>
      <c r="U27" s="10">
        <f>U26/U13</f>
        <v>0.3216036709917894</v>
      </c>
    </row>
    <row r="28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</row>
    <row r="29">
      <c r="A29" t="inlineStr">
        <is>
          <t xml:space="preserve">Other Income/(Expense), net</t>
        </is>
      </c>
      <c r="B29" s="12">
        <v>-247</v>
      </c>
      <c r="C29" s="12">
        <v>-276</v>
      </c>
      <c r="D29" s="12">
        <v>-163</v>
      </c>
      <c r="E29" s="12">
        <v>372</v>
      </c>
      <c r="F29" s="13">
        <f>SUM(B29:E29)</f>
        <v>-314</v>
      </c>
      <c r="G29" s="12">
        <v>155</v>
      </c>
      <c r="H29" s="12">
        <v>-40</v>
      </c>
      <c r="I29" s="12">
        <v>578</v>
      </c>
      <c r="J29" s="13">
        <f>J53</f>
        <v>-100</v>
      </c>
      <c r="K29" s="13">
        <f>SUM(G29:J29)</f>
        <v>593</v>
      </c>
      <c r="L29" s="13">
        <f>L53</f>
        <v>-100</v>
      </c>
      <c r="M29" s="13">
        <f>M53</f>
        <v>-100</v>
      </c>
      <c r="N29" s="13">
        <f>N53</f>
        <v>-100</v>
      </c>
      <c r="O29" s="13">
        <f>O53</f>
        <v>-100</v>
      </c>
      <c r="P29" s="13">
        <f>SUM(L29:O29)</f>
        <v>-400</v>
      </c>
      <c r="Q29" s="13">
        <f>Q53</f>
        <v>-100</v>
      </c>
      <c r="R29" s="13">
        <f>R53</f>
        <v>-100</v>
      </c>
      <c r="S29" s="13">
        <f>S53</f>
        <v>-100</v>
      </c>
      <c r="T29" s="13">
        <f>T53</f>
        <v>-100</v>
      </c>
      <c r="U29" s="13">
        <f>SUM(Q29:T29)</f>
        <v>-400</v>
      </c>
    </row>
    <row r="30">
      <c r="A30" t="inlineStr">
        <is>
          <t xml:space="preserve">Income Before Provision for Taxes</t>
        </is>
      </c>
      <c r="B30" s="13">
        <f>B26+B29</f>
        <v>42585</v>
      </c>
      <c r="C30" s="13">
        <f>C26+C29</f>
        <v>29313</v>
      </c>
      <c r="D30" s="13">
        <f>D26+D29</f>
        <v>28039</v>
      </c>
      <c r="E30" s="13">
        <f>E26+E29</f>
        <v>32799</v>
      </c>
      <c r="F30" s="13">
        <f>F26+F29</f>
        <v>132736</v>
      </c>
      <c r="G30" s="13">
        <f>G26+G29</f>
        <v>51007</v>
      </c>
      <c r="H30" s="13">
        <f>H26+H29</f>
        <v>35845</v>
      </c>
      <c r="I30" s="13">
        <f>I26+I29</f>
        <v>36273</v>
      </c>
      <c r="J30" s="13">
        <f>J26+J29</f>
        <v>34284.460999999996</v>
      </c>
      <c r="K30" s="13">
        <f>K26+K29</f>
        <v>157409.461</v>
      </c>
      <c r="L30" s="13">
        <f>L26+L29</f>
        <v>52822.6576</v>
      </c>
      <c r="M30" s="13">
        <f>M26+M29</f>
        <v>36371.69824999999</v>
      </c>
      <c r="N30" s="13">
        <f>N26+N29</f>
        <v>36792.84535</v>
      </c>
      <c r="O30" s="13">
        <f>O26+O29</f>
        <v>38404.38828</v>
      </c>
      <c r="P30" s="13">
        <f>P26+P29</f>
        <v>164391.58947999997</v>
      </c>
      <c r="Q30" s="13">
        <f>Q26+Q29</f>
        <v>57103.4838175</v>
      </c>
      <c r="R30" s="13">
        <f>R26+R29</f>
        <v>39569.149808</v>
      </c>
      <c r="S30" s="13">
        <f>S26+S29</f>
        <v>40013.40003999999</v>
      </c>
      <c r="T30" s="13">
        <f>T26+T29</f>
        <v>41772.60452616001</v>
      </c>
      <c r="U30" s="13">
        <f>U26+U29</f>
        <v>178458.63819166</v>
      </c>
    </row>
    <row r="31">
      <c r="A31" s="9" t="inlineStr">
        <is>
          <t xml:space="preserve">   Pretax Margin %</t>
        </is>
      </c>
      <c r="B31" s="10">
        <f>B30/B13</f>
        <v>0.3425985518905873</v>
      </c>
      <c r="C31" s="10">
        <f>C30/C13</f>
        <v>0.30739626044736207</v>
      </c>
      <c r="D31" s="10">
        <f>D30/D13</f>
        <v>0.2981730401122974</v>
      </c>
      <c r="E31" s="10">
        <f>E30/E13</f>
        <v>0.32009642222786094</v>
      </c>
      <c r="F31" s="10">
        <f>F30/F13</f>
        <v>0.3189534819456893</v>
      </c>
      <c r="G31" s="10">
        <f>G30/G13</f>
        <v>0.3548164946158769</v>
      </c>
      <c r="H31" s="10">
        <f>H30/H13</f>
        <v>0.32239350985753346</v>
      </c>
      <c r="I31" s="10">
        <f>I30/I13</f>
        <v>0.33151155670508237</v>
      </c>
      <c r="J31" s="10">
        <f>J30/J13</f>
        <v>0.30359800954881</v>
      </c>
      <c r="K31" s="10">
        <f>K30/K13</f>
        <v>0.329802399057199</v>
      </c>
      <c r="L31" s="10">
        <f>L30/L13</f>
        <v>0.33944215533510413</v>
      </c>
      <c r="M31" s="10">
        <f>M30/M13</f>
        <v>0.3027345319407473</v>
      </c>
      <c r="N31" s="10">
        <f>N30/N13</f>
        <v>0.3093465402067694</v>
      </c>
      <c r="O31" s="10">
        <f>O30/O13</f>
        <v>0.30985147724095163</v>
      </c>
      <c r="P31" s="10">
        <f>P30/P13</f>
        <v>0.3169655825211731</v>
      </c>
      <c r="Q31" s="10">
        <f>Q30/Q13</f>
        <v>0.3431798056050443</v>
      </c>
      <c r="R31" s="10">
        <f>R30/R13</f>
        <v>0.30676969422213674</v>
      </c>
      <c r="S31" s="10">
        <f>S30/S13</f>
        <v>0.3133616618695054</v>
      </c>
      <c r="T31" s="10">
        <f>T30/T13</f>
        <v>0.3139060175571114</v>
      </c>
      <c r="U31" s="10">
        <f>U30/U13</f>
        <v>0.32088443556823176</v>
      </c>
    </row>
    <row r="32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</row>
    <row r="33">
      <c r="A33" t="inlineStr">
        <is>
          <t xml:space="preserve">Provision for Income Taxes</t>
        </is>
      </c>
      <c r="B33" s="13">
        <f>B30-B36</f>
        <v>6255</v>
      </c>
      <c r="C33" s="13">
        <f>C30-C36</f>
        <v>4533</v>
      </c>
      <c r="D33" s="13">
        <f>D30-D36</f>
        <v>4605</v>
      </c>
      <c r="E33" s="13">
        <f>E30-E36</f>
        <v>5333</v>
      </c>
      <c r="F33" s="13">
        <f>SUM(B33:E33)</f>
        <v>20726</v>
      </c>
      <c r="G33" s="13">
        <f>G30-G36</f>
        <v>8910</v>
      </c>
      <c r="H33" s="13">
        <f>H30-H36</f>
        <v>6267</v>
      </c>
      <c r="I33" s="13">
        <f>I30-I36</f>
        <v>6484</v>
      </c>
      <c r="J33" s="13">
        <f>J30*J54</f>
        <v>5999.780674999999</v>
      </c>
      <c r="K33" s="13">
        <f>SUM(G33:J33)</f>
        <v>27660.780675</v>
      </c>
      <c r="L33" s="13">
        <f>L30*L54</f>
        <v>9243.96508</v>
      </c>
      <c r="M33" s="13">
        <f>M30*M54</f>
        <v>6365.047193749997</v>
      </c>
      <c r="N33" s="13">
        <f>N30*N54</f>
        <v>6438.747936249999</v>
      </c>
      <c r="O33" s="13">
        <f>O30*O54</f>
        <v>6720.767948999999</v>
      </c>
      <c r="P33" s="13">
        <f>SUM(L33:O33)</f>
        <v>28768.52815899999</v>
      </c>
      <c r="Q33" s="13">
        <f>Q30*Q54</f>
        <v>9993.1096680625</v>
      </c>
      <c r="R33" s="13">
        <f>R30*R54</f>
        <v>6924.6012164</v>
      </c>
      <c r="S33" s="13">
        <f>S30*S54</f>
        <v>7002.345006999998</v>
      </c>
      <c r="T33" s="13">
        <f>T30*T54</f>
        <v>7310.205792078001</v>
      </c>
      <c r="U33" s="13">
        <f>SUM(Q33:T33)</f>
        <v>31230.2616835405</v>
      </c>
    </row>
    <row r="34">
      <c r="A34" s="9" t="inlineStr">
        <is>
          <t xml:space="preserve">   Effective Tax Rate %</t>
        </is>
      </c>
      <c r="B34" s="10">
        <f>B33/B30</f>
        <v>0.14688270517787955</v>
      </c>
      <c r="C34" s="10">
        <f>C33/C30</f>
        <v>0.15464128543649577</v>
      </c>
      <c r="D34" s="10">
        <f>D33/D30</f>
        <v>0.16423552908448946</v>
      </c>
      <c r="E34" s="10">
        <f>E33/E30</f>
        <v>0.16259642062257995</v>
      </c>
      <c r="F34" s="10">
        <f>F33/F30</f>
        <v>0.1561445274831244</v>
      </c>
      <c r="G34" s="10">
        <f>G33/G30</f>
        <v>0.17468190640500322</v>
      </c>
      <c r="H34" s="10">
        <f>H33/H30</f>
        <v>0.17483609987445947</v>
      </c>
      <c r="I34" s="10">
        <f>I33/I30</f>
        <v>0.17875554820389822</v>
      </c>
      <c r="J34" s="10">
        <f>J33/J30</f>
        <v>0.175</v>
      </c>
      <c r="K34" s="10">
        <f>K33/K30</f>
        <v>0.1757250199528985</v>
      </c>
      <c r="L34" s="10">
        <f>L33/L30</f>
        <v>0.17500000000000002</v>
      </c>
      <c r="M34" s="10">
        <f>M33/M30</f>
        <v>0.175</v>
      </c>
      <c r="N34" s="10">
        <f>N33/N30</f>
        <v>0.175</v>
      </c>
      <c r="O34" s="10">
        <f>O33/O30</f>
        <v>0.175</v>
      </c>
      <c r="P34" s="10">
        <f>P33/P30</f>
        <v>0.175</v>
      </c>
      <c r="Q34" s="10">
        <f>Q33/Q30</f>
        <v>0.175</v>
      </c>
      <c r="R34" s="10">
        <f>R33/R30</f>
        <v>0.175</v>
      </c>
      <c r="S34" s="10">
        <f>S33/S30</f>
        <v>0.175</v>
      </c>
      <c r="T34" s="10">
        <f>T33/T30</f>
        <v>0.175</v>
      </c>
      <c r="U34" s="10">
        <f>U33/U30</f>
        <v>0.175</v>
      </c>
    </row>
    <row r="3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</row>
    <row r="36">
      <c r="A36" s="6" t="inlineStr">
        <is>
          <t xml:space="preserve">Net Income</t>
        </is>
      </c>
      <c r="B36" s="8">
        <v>36330</v>
      </c>
      <c r="C36" s="8">
        <v>24780</v>
      </c>
      <c r="D36" s="8">
        <v>23434</v>
      </c>
      <c r="E36" s="8">
        <v>27466</v>
      </c>
      <c r="F36" s="7">
        <f>SUM(B36:E36)</f>
        <v>112010</v>
      </c>
      <c r="G36" s="8">
        <v>42097</v>
      </c>
      <c r="H36" s="8">
        <v>29578</v>
      </c>
      <c r="I36" s="8">
        <v>29789</v>
      </c>
      <c r="J36" s="7">
        <f>J30-J33</f>
        <v>28284.680325</v>
      </c>
      <c r="K36" s="7">
        <f>SUM(G36:J36)</f>
        <v>129748.680325</v>
      </c>
      <c r="L36" s="7">
        <f>L30-L33</f>
        <v>43578.69252</v>
      </c>
      <c r="M36" s="7">
        <f>M30-M33</f>
        <v>30006.65105624999</v>
      </c>
      <c r="N36" s="7">
        <f>N30-N33</f>
        <v>30354.09741375</v>
      </c>
      <c r="O36" s="7">
        <f>O30-O33</f>
        <v>31683.620331</v>
      </c>
      <c r="P36" s="7">
        <f>SUM(L36:O36)</f>
        <v>135623.061321</v>
      </c>
      <c r="Q36" s="7">
        <f>Q30-Q33</f>
        <v>47110.374149437506</v>
      </c>
      <c r="R36" s="7">
        <f>R30-R33</f>
        <v>32644.548591600003</v>
      </c>
      <c r="S36" s="7">
        <f>S30-S33</f>
        <v>33011.055033</v>
      </c>
      <c r="T36" s="7">
        <f>T30-T33</f>
        <v>34462.39873408201</v>
      </c>
      <c r="U36" s="7">
        <f>SUM(Q36:T36)</f>
        <v>147228.37650811952</v>
      </c>
    </row>
    <row r="37">
      <c r="A37" s="9" t="inlineStr">
        <is>
          <t xml:space="preserve">   Net Margin %</t>
        </is>
      </c>
      <c r="B37" s="10">
        <f>B36/B13</f>
        <v>0.2922767497988737</v>
      </c>
      <c r="C37" s="10">
        <f>C36/C13</f>
        <v>0.25986010759341016</v>
      </c>
      <c r="D37" s="10">
        <f>D36/D13</f>
        <v>0.24920243311072351</v>
      </c>
      <c r="E37" s="10">
        <f>E36/E13</f>
        <v>0.2680498897195167</v>
      </c>
      <c r="F37" s="10">
        <f>F36/F13</f>
        <v>0.2691506412181824</v>
      </c>
      <c r="G37" s="10">
        <f>G36/G13</f>
        <v>0.292836472912435</v>
      </c>
      <c r="H37" s="10">
        <f>H36/H13</f>
        <v>0.2660274859692042</v>
      </c>
      <c r="I37" s="10">
        <f>I36/I13</f>
        <v>0.2722520266503377</v>
      </c>
      <c r="J37" s="10">
        <f>J36/J13</f>
        <v>0.2504683578777683</v>
      </c>
      <c r="K37" s="10">
        <f>K36/K13</f>
        <v>0.2718478659023589</v>
      </c>
      <c r="L37" s="10">
        <f>L36/L13</f>
        <v>0.2800397781514609</v>
      </c>
      <c r="M37" s="10">
        <f>M36/M13</f>
        <v>0.2497559888511165</v>
      </c>
      <c r="N37" s="10">
        <f>N36/N13</f>
        <v>0.25521089567058475</v>
      </c>
      <c r="O37" s="10">
        <f>O36/O13</f>
        <v>0.2556274687237851</v>
      </c>
      <c r="P37" s="10">
        <f>P36/P13</f>
        <v>0.26149660557996784</v>
      </c>
      <c r="Q37" s="10">
        <f>Q36/Q13</f>
        <v>0.2831233396241616</v>
      </c>
      <c r="R37" s="10">
        <f>R36/R13</f>
        <v>0.2530849977332628</v>
      </c>
      <c r="S37" s="10">
        <f>S36/S13</f>
        <v>0.25852337104234197</v>
      </c>
      <c r="T37" s="10">
        <f>T36/T13</f>
        <v>0.2589724644846169</v>
      </c>
      <c r="U37" s="10">
        <f>U36/U13</f>
        <v>0.2647296593437913</v>
      </c>
    </row>
    <row r="38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>
      <c r="A39" t="inlineStr">
        <is>
          <t xml:space="preserve">Diluted EPS ($)</t>
        </is>
      </c>
      <c r="B39" s="14">
        <v>2.4</v>
      </c>
      <c r="C39" s="14">
        <v>1.65</v>
      </c>
      <c r="D39" s="14">
        <v>1.57</v>
      </c>
      <c r="E39" s="14">
        <v>1.84</v>
      </c>
      <c r="F39" s="15">
        <f>SUM(B39:E39)</f>
        <v>7.46</v>
      </c>
      <c r="G39" s="14">
        <v>2.84</v>
      </c>
      <c r="H39" s="14">
        <v>2.01</v>
      </c>
      <c r="I39" s="14">
        <v>2.02</v>
      </c>
      <c r="J39" s="15">
        <f>J36/J40</f>
        <v>1.9335152700110116</v>
      </c>
      <c r="K39" s="15">
        <f>SUM(G39:J39)</f>
        <v>8.803515270011012</v>
      </c>
      <c r="L39" s="15">
        <f>L36/L40</f>
        <v>2.9999589567146425</v>
      </c>
      <c r="M39" s="15">
        <f>M36/M40</f>
        <v>2.080744259145396</v>
      </c>
      <c r="N39" s="15">
        <f>N36/N40</f>
        <v>2.100325924162357</v>
      </c>
      <c r="O39" s="15">
        <f>O36/O40</f>
        <v>2.2100650482412347</v>
      </c>
      <c r="P39" s="15">
        <f>SUM(L39:O39)</f>
        <v>9.391094188263631</v>
      </c>
      <c r="Q39" s="15">
        <f>Q36/Q40</f>
        <v>3.3092653704213646</v>
      </c>
      <c r="R39" s="15">
        <f>R36/R40</f>
        <v>2.30986058918063</v>
      </c>
      <c r="S39" s="15">
        <f>S36/S40</f>
        <v>2.3307875961617253</v>
      </c>
      <c r="T39" s="15">
        <f>T36/T40</f>
        <v>2.4529555768093436</v>
      </c>
      <c r="U39" s="15">
        <f>SUM(Q39:T39)</f>
        <v>10.402869132573064</v>
      </c>
    </row>
    <row r="40">
      <c r="A40" t="inlineStr">
        <is>
          <t xml:space="preserve">Diluted Weighted-Avg Shares Outstanding (mm)</t>
        </is>
      </c>
      <c r="B40" s="16">
        <f>B36/B39</f>
        <v>15137.5</v>
      </c>
      <c r="C40" s="16">
        <f>C36/C39</f>
        <v>15018.18181818182</v>
      </c>
      <c r="D40" s="16">
        <f>D36/D39</f>
        <v>14926.114649681527</v>
      </c>
      <c r="E40" s="16">
        <f>E36/E39</f>
        <v>14927.173913043478</v>
      </c>
      <c r="F40" s="16">
        <f>AVERAGE(B40:E40)</f>
        <v>15002.242595226706</v>
      </c>
      <c r="G40" s="16">
        <f>G36/G39</f>
        <v>14822.887323943663</v>
      </c>
      <c r="H40" s="16">
        <f>H36/H39</f>
        <v>14715.42288557214</v>
      </c>
      <c r="I40" s="16">
        <f>I36/I39</f>
        <v>14747.029702970296</v>
      </c>
      <c r="J40" s="16">
        <f>E40*(1+J55)</f>
        <v>14628.630434782608</v>
      </c>
      <c r="K40" s="16">
        <f>AVERAGE(G40:J40)</f>
        <v>14728.492586817178</v>
      </c>
      <c r="L40" s="16">
        <f>G40*(1+L55)</f>
        <v>14526.42957746479</v>
      </c>
      <c r="M40" s="16">
        <f>H40*(1+M55)</f>
        <v>14421.1144278607</v>
      </c>
      <c r="N40" s="16">
        <f>I40*(1+N55)</f>
        <v>14452.08910891089</v>
      </c>
      <c r="O40" s="16">
        <f>J40*(1+O55)</f>
        <v>14336.057826086955</v>
      </c>
      <c r="P40" s="16">
        <f>AVERAGE(L40:O40)</f>
        <v>14433.922735080832</v>
      </c>
      <c r="Q40" s="16">
        <f>L40*(1+Q55)</f>
        <v>14235.900985915494</v>
      </c>
      <c r="R40" s="16">
        <f>M40*(1+R55)</f>
        <v>14132.692139303485</v>
      </c>
      <c r="S40" s="16">
        <f>N40*(1+S55)</f>
        <v>14163.047326732672</v>
      </c>
      <c r="T40" s="16">
        <f>O40*(1+T55)</f>
        <v>14049.336669565217</v>
      </c>
      <c r="U40" s="16">
        <f>AVERAGE(Q40:T40)</f>
        <v>14145.244280379216</v>
      </c>
    </row>
    <row r="41">
      <c r="A41" t="inlineStr">
        <is>
          <t xml:space="preserve">Dividend per Share ($)</t>
        </is>
      </c>
      <c r="B41" s="14">
        <v>0.25</v>
      </c>
      <c r="C41" s="14">
        <v>0.25</v>
      </c>
      <c r="D41" s="14">
        <v>0.26</v>
      </c>
      <c r="E41" s="14">
        <v>0.26</v>
      </c>
      <c r="F41" s="15">
        <f>SUM(B41:E41)</f>
        <v>1.02</v>
      </c>
      <c r="G41" s="14">
        <v>0.26</v>
      </c>
      <c r="H41" s="14">
        <v>0.26</v>
      </c>
      <c r="I41" s="14">
        <v>0.27</v>
      </c>
      <c r="J41" s="14">
        <v>0.27</v>
      </c>
      <c r="K41" s="15">
        <f>SUM(G41:J41)</f>
        <v>1.06</v>
      </c>
      <c r="L41" s="14">
        <v>0.27</v>
      </c>
      <c r="M41" s="14">
        <v>0.28</v>
      </c>
      <c r="N41" s="14">
        <v>0.28</v>
      </c>
      <c r="O41" s="14">
        <v>0.28</v>
      </c>
      <c r="P41" s="15">
        <f>SUM(L41:O41)</f>
        <v>1.11</v>
      </c>
      <c r="Q41" s="14">
        <v>0.28</v>
      </c>
      <c r="R41" s="14">
        <v>0.29</v>
      </c>
      <c r="S41" s="14">
        <v>0.29</v>
      </c>
      <c r="T41" s="14">
        <v>0.29</v>
      </c>
      <c r="U41" s="15">
        <f>SUM(Q41:T41)</f>
        <v>1.15</v>
      </c>
    </row>
    <row r="44">
      <c r="A44" s="4" t="inlineStr">
        <is>
          <t xml:space="preserve">FORECAST ASSUMPTIONS &amp; DRIVERS  (drive J, L:O, Q:T forecast columns)</t>
        </is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>
      <c r="A45" s="11" t="inlineStr">
        <is>
          <t xml:space="preserve">   iPhone YoY Growth % (assumption)</t>
        </is>
      </c>
      <c r="B45" s="17"/>
      <c r="C45" s="17"/>
      <c r="D45" s="17"/>
      <c r="E45" s="17"/>
      <c r="F45" s="17"/>
      <c r="G45" s="17"/>
      <c r="H45" s="17"/>
      <c r="I45" s="17"/>
      <c r="J45" s="18">
        <v>0.14</v>
      </c>
      <c r="K45" s="17"/>
      <c r="L45" s="18">
        <v>0.08</v>
      </c>
      <c r="M45" s="18">
        <v>0.07</v>
      </c>
      <c r="N45" s="18">
        <v>0.08</v>
      </c>
      <c r="O45" s="18">
        <v>0.1</v>
      </c>
      <c r="P45" s="17"/>
      <c r="Q45" s="18">
        <v>0.06</v>
      </c>
      <c r="R45" s="18">
        <v>0.06</v>
      </c>
      <c r="S45" s="18">
        <v>0.06</v>
      </c>
      <c r="T45" s="18">
        <v>0.06</v>
      </c>
      <c r="U45" s="17"/>
    </row>
    <row r="46">
      <c r="A46" s="11" t="inlineStr">
        <is>
          <t xml:space="preserve">   Mac YoY Growth % (assumption)</t>
        </is>
      </c>
      <c r="B46" s="17"/>
      <c r="C46" s="17"/>
      <c r="D46" s="17"/>
      <c r="E46" s="17"/>
      <c r="F46" s="17"/>
      <c r="G46" s="17"/>
      <c r="H46" s="17"/>
      <c r="I46" s="17"/>
      <c r="J46" s="18">
        <v>0.06</v>
      </c>
      <c r="K46" s="17"/>
      <c r="L46" s="18">
        <v>0.05</v>
      </c>
      <c r="M46" s="18">
        <v>0.05</v>
      </c>
      <c r="N46" s="18">
        <v>0.06</v>
      </c>
      <c r="O46" s="18">
        <v>0.06</v>
      </c>
      <c r="P46" s="17"/>
      <c r="Q46" s="18">
        <v>0.05</v>
      </c>
      <c r="R46" s="18">
        <v>0.05</v>
      </c>
      <c r="S46" s="18">
        <v>0.05</v>
      </c>
      <c r="T46" s="18">
        <v>0.05</v>
      </c>
      <c r="U46" s="17"/>
    </row>
    <row r="47">
      <c r="A47" s="11" t="inlineStr">
        <is>
          <t xml:space="preserve">   iPad YoY Growth % (assumption)</t>
        </is>
      </c>
      <c r="B47" s="17"/>
      <c r="C47" s="17"/>
      <c r="D47" s="17"/>
      <c r="E47" s="17"/>
      <c r="F47" s="17"/>
      <c r="G47" s="17"/>
      <c r="H47" s="17"/>
      <c r="I47" s="17"/>
      <c r="J47" s="18">
        <v>-0.08</v>
      </c>
      <c r="K47" s="17"/>
      <c r="L47" s="18">
        <v>0.03</v>
      </c>
      <c r="M47" s="18">
        <v>0.03</v>
      </c>
      <c r="N47" s="18">
        <v>0.04</v>
      </c>
      <c r="O47" s="18">
        <v>0.05</v>
      </c>
      <c r="P47" s="17"/>
      <c r="Q47" s="18">
        <v>0.03</v>
      </c>
      <c r="R47" s="18">
        <v>0.03</v>
      </c>
      <c r="S47" s="18">
        <v>0.03</v>
      </c>
      <c r="T47" s="18">
        <v>0.03</v>
      </c>
      <c r="U47" s="17"/>
    </row>
    <row r="48">
      <c r="A48" s="11" t="inlineStr">
        <is>
          <t xml:space="preserve">   Wearables YoY Growth % (assumption)</t>
        </is>
      </c>
      <c r="B48" s="17"/>
      <c r="C48" s="17"/>
      <c r="D48" s="17"/>
      <c r="E48" s="17"/>
      <c r="F48" s="17"/>
      <c r="G48" s="17"/>
      <c r="H48" s="17"/>
      <c r="I48" s="17"/>
      <c r="J48" s="18">
        <v>0.02</v>
      </c>
      <c r="K48" s="17"/>
      <c r="L48" s="18">
        <v>0.04</v>
      </c>
      <c r="M48" s="18">
        <v>0.04</v>
      </c>
      <c r="N48" s="18">
        <v>0.04</v>
      </c>
      <c r="O48" s="18">
        <v>0.04</v>
      </c>
      <c r="P48" s="17"/>
      <c r="Q48" s="18">
        <v>0.04</v>
      </c>
      <c r="R48" s="18">
        <v>0.04</v>
      </c>
      <c r="S48" s="18">
        <v>0.04</v>
      </c>
      <c r="T48" s="18">
        <v>0.04</v>
      </c>
      <c r="U48" s="17"/>
    </row>
    <row r="49">
      <c r="A49" s="11" t="inlineStr">
        <is>
          <t xml:space="preserve">   Services YoY Growth % (assumption)</t>
        </is>
      </c>
      <c r="B49" s="17"/>
      <c r="C49" s="17"/>
      <c r="D49" s="17"/>
      <c r="E49" s="17"/>
      <c r="F49" s="17"/>
      <c r="G49" s="17"/>
      <c r="H49" s="17"/>
      <c r="I49" s="17"/>
      <c r="J49" s="18">
        <v>0.12</v>
      </c>
      <c r="K49" s="17"/>
      <c r="L49" s="18">
        <v>0.13</v>
      </c>
      <c r="M49" s="18">
        <v>0.13</v>
      </c>
      <c r="N49" s="18">
        <v>0.13</v>
      </c>
      <c r="O49" s="18">
        <v>0.13</v>
      </c>
      <c r="P49" s="17"/>
      <c r="Q49" s="18">
        <v>0.12</v>
      </c>
      <c r="R49" s="18">
        <v>0.12</v>
      </c>
      <c r="S49" s="18">
        <v>0.12</v>
      </c>
      <c r="T49" s="18">
        <v>0.12</v>
      </c>
      <c r="U49" s="17"/>
    </row>
    <row r="50">
      <c r="A50" s="11" t="inlineStr">
        <is>
          <t xml:space="preserve">   Gross Margin % (assumption)</t>
        </is>
      </c>
      <c r="B50" s="17"/>
      <c r="C50" s="17"/>
      <c r="D50" s="17"/>
      <c r="E50" s="17"/>
      <c r="F50" s="17"/>
      <c r="G50" s="17"/>
      <c r="H50" s="17"/>
      <c r="I50" s="17"/>
      <c r="J50" s="18">
        <v>0.475</v>
      </c>
      <c r="K50" s="17"/>
      <c r="L50" s="18">
        <v>0.47</v>
      </c>
      <c r="M50" s="18">
        <v>0.475</v>
      </c>
      <c r="N50" s="18">
        <v>0.485</v>
      </c>
      <c r="O50" s="18">
        <v>0.48</v>
      </c>
      <c r="P50" s="17"/>
      <c r="Q50" s="18">
        <v>0.475</v>
      </c>
      <c r="R50" s="18">
        <v>0.48</v>
      </c>
      <c r="S50" s="18">
        <v>0.49</v>
      </c>
      <c r="T50" s="18">
        <v>0.485</v>
      </c>
      <c r="U50" s="17"/>
    </row>
    <row r="51">
      <c r="A51" s="11" t="inlineStr">
        <is>
          <t xml:space="preserve">   SG&amp;A % of Revenue (assumption)</t>
        </is>
      </c>
      <c r="B51" s="18">
        <v>0.067</v>
      </c>
      <c r="C51" s="18">
        <v>0.067</v>
      </c>
      <c r="D51" s="18">
        <v>0.067</v>
      </c>
      <c r="E51" s="18">
        <v>0.067</v>
      </c>
      <c r="F51" s="17"/>
      <c r="G51" s="18">
        <v>0.067</v>
      </c>
      <c r="H51" s="18">
        <v>0.067</v>
      </c>
      <c r="I51" s="18">
        <v>0.067</v>
      </c>
      <c r="J51" s="18">
        <v>0.067</v>
      </c>
      <c r="K51" s="17"/>
      <c r="L51" s="18">
        <v>0.067</v>
      </c>
      <c r="M51" s="18">
        <v>0.067</v>
      </c>
      <c r="N51" s="18">
        <v>0.067</v>
      </c>
      <c r="O51" s="18">
        <v>0.067</v>
      </c>
      <c r="P51" s="17"/>
      <c r="Q51" s="18">
        <v>0.067</v>
      </c>
      <c r="R51" s="18">
        <v>0.067</v>
      </c>
      <c r="S51" s="18">
        <v>0.067</v>
      </c>
      <c r="T51" s="18">
        <v>0.067</v>
      </c>
      <c r="U51" s="17"/>
    </row>
    <row r="52">
      <c r="A52" s="11" t="inlineStr">
        <is>
          <t xml:space="preserve">   Total Opex YoY Growth % (assumption)</t>
        </is>
      </c>
      <c r="B52" s="17"/>
      <c r="C52" s="17"/>
      <c r="D52" s="17"/>
      <c r="E52" s="17"/>
      <c r="F52" s="17"/>
      <c r="G52" s="17"/>
      <c r="H52" s="17"/>
      <c r="I52" s="17"/>
      <c r="J52" s="18">
        <v>0.21</v>
      </c>
      <c r="K52" s="17"/>
      <c r="L52" s="18">
        <v>0.1</v>
      </c>
      <c r="M52" s="18">
        <v>0.09</v>
      </c>
      <c r="N52" s="18">
        <v>0.09</v>
      </c>
      <c r="O52" s="18">
        <v>0.09</v>
      </c>
      <c r="P52" s="17"/>
      <c r="Q52" s="18">
        <v>0.08</v>
      </c>
      <c r="R52" s="18">
        <v>0.08</v>
      </c>
      <c r="S52" s="18">
        <v>0.08</v>
      </c>
      <c r="T52" s="18">
        <v>0.08</v>
      </c>
      <c r="U52" s="17"/>
    </row>
    <row r="53">
      <c r="A53" s="11" t="inlineStr">
        <is>
          <t xml:space="preserve">   Other Income/(Expense), $M (assumption)</t>
        </is>
      </c>
      <c r="B53" s="13"/>
      <c r="C53" s="13"/>
      <c r="D53" s="13"/>
      <c r="E53" s="13"/>
      <c r="F53" s="13"/>
      <c r="G53" s="13"/>
      <c r="H53" s="13"/>
      <c r="I53" s="13"/>
      <c r="J53" s="12">
        <v>-100</v>
      </c>
      <c r="K53" s="13"/>
      <c r="L53" s="12">
        <v>-100</v>
      </c>
      <c r="M53" s="12">
        <v>-100</v>
      </c>
      <c r="N53" s="12">
        <v>-100</v>
      </c>
      <c r="O53" s="12">
        <v>-100</v>
      </c>
      <c r="P53" s="13"/>
      <c r="Q53" s="12">
        <v>-100</v>
      </c>
      <c r="R53" s="12">
        <v>-100</v>
      </c>
      <c r="S53" s="12">
        <v>-100</v>
      </c>
      <c r="T53" s="12">
        <v>-100</v>
      </c>
      <c r="U53" s="13"/>
    </row>
    <row r="54">
      <c r="A54" s="11" t="inlineStr">
        <is>
          <t xml:space="preserve">   Effective Tax Rate % (assumption)</t>
        </is>
      </c>
      <c r="B54" s="17"/>
      <c r="C54" s="17"/>
      <c r="D54" s="17"/>
      <c r="E54" s="17"/>
      <c r="F54" s="17"/>
      <c r="G54" s="17"/>
      <c r="H54" s="17"/>
      <c r="I54" s="17"/>
      <c r="J54" s="18">
        <v>0.175</v>
      </c>
      <c r="K54" s="17"/>
      <c r="L54" s="18">
        <v>0.175</v>
      </c>
      <c r="M54" s="18">
        <v>0.175</v>
      </c>
      <c r="N54" s="18">
        <v>0.175</v>
      </c>
      <c r="O54" s="18">
        <v>0.175</v>
      </c>
      <c r="P54" s="17"/>
      <c r="Q54" s="18">
        <v>0.175</v>
      </c>
      <c r="R54" s="18">
        <v>0.175</v>
      </c>
      <c r="S54" s="18">
        <v>0.175</v>
      </c>
      <c r="T54" s="18">
        <v>0.175</v>
      </c>
      <c r="U54" s="17"/>
    </row>
    <row r="55">
      <c r="A55" s="11" t="inlineStr">
        <is>
          <t xml:space="preserve">   Diluted Shares YoY Change % (assumption)</t>
        </is>
      </c>
      <c r="B55" s="17"/>
      <c r="C55" s="17"/>
      <c r="D55" s="17"/>
      <c r="E55" s="17"/>
      <c r="F55" s="17"/>
      <c r="G55" s="17"/>
      <c r="H55" s="17"/>
      <c r="I55" s="17"/>
      <c r="J55" s="18">
        <v>-0.02</v>
      </c>
      <c r="K55" s="17"/>
      <c r="L55" s="18">
        <v>-0.02</v>
      </c>
      <c r="M55" s="18">
        <v>-0.02</v>
      </c>
      <c r="N55" s="18">
        <v>-0.02</v>
      </c>
      <c r="O55" s="18">
        <v>-0.02</v>
      </c>
      <c r="P55" s="17"/>
      <c r="Q55" s="18">
        <v>-0.02</v>
      </c>
      <c r="R55" s="18">
        <v>-0.02</v>
      </c>
      <c r="S55" s="18">
        <v>-0.02</v>
      </c>
      <c r="T55" s="18">
        <v>-0.02</v>
      </c>
      <c r="U55" s="17"/>
    </row>
    <row r="57">
      <c r="A57" s="4" t="inlineStr">
        <is>
          <t xml:space="preserve">SOURCES &amp; NOTES</t>
        </is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ht="22.51" customHeight="1">
      <c r="A58" s="19" t="inlineStr">
        <is>
          <t xml:space="preserve">Historicals (FY2025 Q1-Q4, FY2026 Q1-Q3): Revenue, Gross Profit, Operating Income, Net Income &amp; EPS are hardcoded from Apple press releases / 10-Q / 10-K filings and tie exactly to reported figures.</t>
        </is>
      </c>
    </row>
    <row r="59" ht="22.51" customHeight="1">
      <c r="A59" s="19" t="inlineStr">
        <is>
          <t xml:space="preserve">R&amp;D / SG&amp;A split for historicals is ESTIMATED (SG&amp;A modeled at 6.7% of revenue, R&amp;D as residual of reported total opex) since exact quarterly split isn't disclosed in press releases; Total Opex itself ties exactly to reported Gross Profit − Operating Income.</t>
        </is>
      </c>
    </row>
    <row r="60" ht="22.51" customHeight="1">
      <c r="A60" s="19" t="inlineStr">
        <is>
          <t xml:space="preserve">Other Income/(Expense) and Tax Provision for historicals are DERIVED (plugs) from reported pretax margin so that Net Income ties exactly to the reported figure.</t>
        </is>
      </c>
    </row>
    <row r="61" ht="22.51" customHeight="1">
      <c r="A61" s="19" t="inlineStr">
        <is>
          <t xml:space="preserve">FY2026 Q4E built off Apple's official Q3 FY26 earnings call guidance (7/30/26): total revenue +9%-11% YoY, gross margin 47%-48%, opex $19.1-19.4B, iPhone growth mid-teens YoY, Services growth ~in line with June quarter, due to FX headwind (~2.5pp) and supply constraints (memory costs, advanced nodes) hitting iPhone/Mac/iPad.</t>
        </is>
      </c>
    </row>
    <row r="62" ht="22.51" customHeight="1">
      <c r="A62" s="19" t="inlineStr">
        <is>
          <t xml:space="preserve">FY2027E-FY2028E are illustrative analyst-style projections (not company guidance): moderating growth as supply constraints ease and iPhone upgrade cycle normalizes; Services continues low-double-digit growth; gross margin gradually recovers as memory cost pressure abates.</t>
        </is>
      </c>
    </row>
    <row r="63" ht="22.51" customHeight="1">
      <c r="A63" s="19" t="inlineStr">
        <is>
          <t xml:space="preserve">Sources: Apple Newsroom Q3 FY2026 press release (7/30/26); Apple Q3 FY2026 earnings call transcript (Six Colors, BigGo, Investing.com, 9to5Mac, AppleInsider); stockanalysis.com quarterly financials; stock-analysis-on.net (10-K/10-Q compiled data); FY2024 total revenue $391,035M and FY2025 total revenue $416,161M per Apple 10-K.</t>
        </is>
      </c>
    </row>
  </sheetData>
  <mergeCells count="8">
    <mergeCell ref="A1:U1"/>
    <mergeCell ref="A2:U2"/>
    <mergeCell ref="A58:U58"/>
    <mergeCell ref="A59:U59"/>
    <mergeCell ref="A60:U60"/>
    <mergeCell ref="A61:U61"/>
    <mergeCell ref="A62:U62"/>
    <mergeCell ref="A63:U6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2026-08-17T23:55:50Z</dcterms:created>
  <dcterms:modified xsi:type="dcterms:W3CDTF">2026-08-17T23:55:50Z</dcterms:modified>
</cp:coreProperties>
</file>