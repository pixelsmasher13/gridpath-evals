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;-"/>
    <numFmt numFmtId="165" formatCode="0.0%;(0.0%);-"/>
    <numFmt numFmtId="166" formatCode="$0.00;($0.00);-"/>
    <numFmt numFmtId="167" formatCode="0.0%"/>
  </numFmts>
  <fonts x14ac:knownFonts="1" count="7">
    <font>
      <color theme="1"/>
      <family val="2"/>
      <scheme val="minor"/>
      <sz val="11"/>
      <name val="Calibri"/>
    </font>
    <font>
      <b/>
      <color theme="1"/>
      <family val="2"/>
      <scheme val="minor"/>
      <name val="Calibri"/>
      <sz val="14"/>
    </font>
    <font>
      <i/>
      <family val="2"/>
      <scheme val="minor"/>
      <name val="Calibri"/>
      <color rgb="FF555555"/>
      <sz val="9"/>
    </font>
    <font>
      <b/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  <color rgb="FF0000FF"/>
    </font>
    <font>
      <i/>
      <color theme="1"/>
      <family val="2"/>
      <scheme val="minor"/>
      <name val="Calibri"/>
      <sz val="9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/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0" fillId="0" borderId="0" xfId="0" applyFont="1" applyFill="1"/>
    <xf numFmtId="164" fontId="4" fillId="0" borderId="0" xfId="0" applyFont="1" applyFill="1" applyNumberFormat="1"/>
    <xf numFmtId="165" fontId="4" fillId="0" borderId="0" xfId="0" applyFont="1" applyFill="1" applyNumberFormat="1"/>
    <xf numFmtId="0" fontId="4" fillId="3" borderId="0" xfId="0" applyFont="1" applyFill="1"/>
    <xf numFmtId="166" fontId="4" fillId="0" borderId="0" xfId="0" applyFont="1" applyFill="1" applyNumberFormat="1"/>
    <xf numFmtId="164" fontId="5" fillId="0" borderId="0" xfId="0" applyFont="1" applyFill="1" applyNumberFormat="1"/>
    <xf numFmtId="164" fontId="0" fillId="0" borderId="0" xfId="0" applyFill="1" applyNumberFormat="1"/>
    <xf numFmtId="165" fontId="0" fillId="0" borderId="0" xfId="0" applyFill="1" applyNumberFormat="1"/>
    <xf numFmtId="0" fontId="4" fillId="4" borderId="0" xfId="0" applyFont="1" applyFill="1"/>
    <xf numFmtId="0" fontId="0" fillId="4" borderId="0" xfId="0" applyFill="1"/>
    <xf numFmtId="167" fontId="5" fillId="5" borderId="0" xfId="0" applyFont="1" applyFill="1" applyNumberFormat="1"/>
    <xf numFmtId="167" fontId="0" fillId="0" borderId="0" xfId="0" applyFill="1" applyNumberFormat="1"/>
    <xf numFmtId="164" fontId="5" fillId="5" borderId="0" xfId="0" applyFont="1" applyFill="1" applyNumberFormat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4" topLeftCell="B5" activePane="bottomRight" state="frozen"/>
    </sheetView>
  </sheetViews>
  <sheetFormatPr defaultRowHeight="15" outlineLevelRow="0" outlineLevelCol="0" x14ac:dyDescent="55"/>
  <cols>
    <col min="1" max="1" width="42.14" customWidth="1"/>
    <col min="2" max="2" width="12.14" customWidth="1"/>
    <col min="3" max="3" width="12.14" customWidth="1"/>
    <col min="4" max="4" width="12.14" customWidth="1"/>
    <col min="5" max="5" width="12.14" customWidth="1"/>
    <col min="6" max="6" width="14.29" customWidth="1"/>
    <col min="7" max="7" width="12.14" customWidth="1"/>
    <col min="8" max="8" width="12.14" customWidth="1"/>
    <col min="9" max="9" width="12.14" customWidth="1"/>
    <col min="10" max="10" width="12.14" customWidth="1"/>
    <col min="11" max="11" width="14.29" customWidth="1"/>
    <col min="12" max="12" width="12.14" customWidth="1"/>
    <col min="13" max="13" width="12.14" customWidth="1"/>
    <col min="14" max="14" width="12.14" customWidth="1"/>
    <col min="15" max="15" width="12.14" customWidth="1"/>
    <col min="16" max="16" width="14.29" customWidth="1"/>
  </cols>
  <sheetData>
    <row r="1">
      <c r="A1" s="1" t="inlineStr">
        <is>
          <t xml:space="preserve">Apple Inc. (AAPL) — Income Statement Forecast, FY2026E–FY2028E</t>
        </is>
      </c>
    </row>
    <row r="2">
      <c r="A2" s="2" t="inlineStr">
        <is>
          <t xml:space="preserve">$ in millions, except per-share data. Fiscal year ends last Saturday of September. A = Actual, E = Estimate.</t>
        </is>
      </c>
    </row>
    <row r="3">
      <c r="B3" s="4">
        <v>45992</v>
      </c>
      <c r="C3" s="4">
        <v>46082</v>
      </c>
      <c r="D3" s="4">
        <v>46174</v>
      </c>
      <c r="E3" s="4">
        <v>46266</v>
      </c>
      <c r="F3" s="4"/>
      <c r="G3" s="4">
        <v>46357</v>
      </c>
      <c r="H3" s="4">
        <v>46447</v>
      </c>
      <c r="I3" s="4">
        <v>46539</v>
      </c>
      <c r="J3" s="4">
        <v>46631</v>
      </c>
      <c r="K3" s="4"/>
      <c r="L3" s="4">
        <v>46722</v>
      </c>
      <c r="M3" s="4">
        <v>46813</v>
      </c>
      <c r="N3" s="4">
        <v>46905</v>
      </c>
      <c r="O3" s="4">
        <v>46997</v>
      </c>
      <c r="P3" s="4"/>
    </row>
    <row r="4">
      <c r="A4" s="3" t="inlineStr">
        <is>
          <t xml:space="preserve">Line Item</t>
        </is>
      </c>
      <c r="B4" s="3" t="inlineStr">
        <is>
          <t xml:space="preserve">Q1 FY26A</t>
        </is>
      </c>
      <c r="C4" s="3" t="inlineStr">
        <is>
          <t xml:space="preserve">Q2 FY26A</t>
        </is>
      </c>
      <c r="D4" s="3" t="inlineStr">
        <is>
          <t xml:space="preserve">Q3 FY26A</t>
        </is>
      </c>
      <c r="E4" s="3" t="inlineStr">
        <is>
          <t xml:space="preserve">Q4 FY26E</t>
        </is>
      </c>
      <c r="F4" s="3" t="inlineStr">
        <is>
          <t xml:space="preserve">FY2026E Total</t>
        </is>
      </c>
      <c r="G4" s="3" t="inlineStr">
        <is>
          <t xml:space="preserve">Q1 FY27E</t>
        </is>
      </c>
      <c r="H4" s="3" t="inlineStr">
        <is>
          <t xml:space="preserve">Q2 FY27E</t>
        </is>
      </c>
      <c r="I4" s="3" t="inlineStr">
        <is>
          <t xml:space="preserve">Q3 FY27E</t>
        </is>
      </c>
      <c r="J4" s="3" t="inlineStr">
        <is>
          <t xml:space="preserve">Q4 FY27E</t>
        </is>
      </c>
      <c r="K4" s="3" t="inlineStr">
        <is>
          <t xml:space="preserve">FY2027E Total</t>
        </is>
      </c>
      <c r="L4" s="3" t="inlineStr">
        <is>
          <t xml:space="preserve">Q1 FY28E</t>
        </is>
      </c>
      <c r="M4" s="3" t="inlineStr">
        <is>
          <t xml:space="preserve">Q2 FY28E</t>
        </is>
      </c>
      <c r="N4" s="3" t="inlineStr">
        <is>
          <t xml:space="preserve">Q3 FY28E</t>
        </is>
      </c>
      <c r="O4" s="3" t="inlineStr">
        <is>
          <t xml:space="preserve">Q4 FY28E</t>
        </is>
      </c>
      <c r="P4" s="3" t="inlineStr">
        <is>
          <t xml:space="preserve">FY2028E Total</t>
        </is>
      </c>
    </row>
    <row r="5">
      <c r="A5" s="5" t="inlineStr">
        <is>
          <t xml:space="preserve">Net Sales</t>
        </is>
      </c>
      <c r="B5" s="11">
        <v>143756</v>
      </c>
      <c r="C5" s="11">
        <v>111180</v>
      </c>
      <c r="D5" s="11">
        <v>109417</v>
      </c>
      <c r="E5" s="11">
        <f>102470*(1+$B$43)</f>
        <v>112717</v>
      </c>
      <c r="F5" s="7">
        <f>SUM(B5:E5)</f>
        <v>477070</v>
      </c>
      <c r="G5" s="12">
        <f>$K5*$B$34</f>
        <v>156694.04000000004</v>
      </c>
      <c r="H5" s="12">
        <f>$K5*$C$34</f>
        <v>121186.2</v>
      </c>
      <c r="I5" s="12">
        <f>$K5*$D$34</f>
        <v>119264.53</v>
      </c>
      <c r="J5" s="12">
        <f>$K5*$E$34</f>
        <v>122861.53000000004</v>
      </c>
      <c r="K5" s="7">
        <f>F5*(1+$B$30)</f>
        <v>520006.3000000001</v>
      </c>
      <c r="L5" s="12">
        <f>$P5*$B$34</f>
        <v>167662.6228</v>
      </c>
      <c r="M5" s="12">
        <f>$P5*$C$34</f>
        <v>129669.234</v>
      </c>
      <c r="N5" s="12">
        <f>$P5*$D$34</f>
        <v>127613.0471</v>
      </c>
      <c r="O5" s="12">
        <f>$P5*$E$34</f>
        <v>131461.83710000003</v>
      </c>
      <c r="P5" s="7">
        <f>K5*(1+$B$31)</f>
        <v>556406.741</v>
      </c>
    </row>
    <row r="6">
      <c r="A6" s="6" t="inlineStr">
        <is>
          <t xml:space="preserve">Cost of Sales</t>
        </is>
      </c>
      <c r="B6" s="11">
        <v>74525</v>
      </c>
      <c r="C6" s="11">
        <v>56400</v>
      </c>
      <c r="D6" s="11">
        <v>54617</v>
      </c>
      <c r="E6" s="11">
        <f>E5*(1-$B$44)</f>
        <v>59176.42500000001</v>
      </c>
      <c r="F6" s="7">
        <f>SUM(B6:E6)</f>
        <v>244718.425</v>
      </c>
      <c r="G6" s="12">
        <f>G5*(1-$B$35)</f>
        <v>79130.49020000001</v>
      </c>
      <c r="H6" s="12">
        <f>H5*(1-$B$35)</f>
        <v>61199.03100000001</v>
      </c>
      <c r="I6" s="12">
        <f>I5*(1-$B$35)</f>
        <v>60228.58765000001</v>
      </c>
      <c r="J6" s="12">
        <f>J5*(1-$B$35)</f>
        <v>62045.07265000002</v>
      </c>
      <c r="K6" s="7">
        <f>SUM(G6:J6)</f>
        <v>262603.18150000006</v>
      </c>
      <c r="L6" s="12">
        <f>L5*(1-$B$36)</f>
        <v>83831.3114</v>
      </c>
      <c r="M6" s="12">
        <f>M5*(1-$B$36)</f>
        <v>64834.617000000006</v>
      </c>
      <c r="N6" s="12">
        <f>N5*(1-$B$36)</f>
        <v>63806.523550000005</v>
      </c>
      <c r="O6" s="12">
        <f>O5*(1-$B$36)</f>
        <v>65730.91855000002</v>
      </c>
      <c r="P6" s="7">
        <f>SUM(L6:O6)</f>
        <v>278203.3705</v>
      </c>
    </row>
    <row r="7">
      <c r="A7" s="5" t="inlineStr">
        <is>
          <t xml:space="preserve">Gross Profit</t>
        </is>
      </c>
      <c r="B7" s="11">
        <f>B5-B6</f>
        <v>69231</v>
      </c>
      <c r="C7" s="11">
        <f>C5-C6</f>
        <v>54780</v>
      </c>
      <c r="D7" s="11">
        <f>D5-D6</f>
        <v>54800</v>
      </c>
      <c r="E7" s="11">
        <f>E5-E6</f>
        <v>53540.575</v>
      </c>
      <c r="F7" s="7">
        <f>F5-F6</f>
        <v>232351.575</v>
      </c>
      <c r="G7" s="12">
        <f>G5-G6</f>
        <v>77563.54980000002</v>
      </c>
      <c r="H7" s="12">
        <f>H5-H6</f>
        <v>59987.169</v>
      </c>
      <c r="I7" s="12">
        <f>I5-I6</f>
        <v>59035.942350000005</v>
      </c>
      <c r="J7" s="12">
        <f>J5-J6</f>
        <v>60816.45735000001</v>
      </c>
      <c r="K7" s="7">
        <f>K5-K6</f>
        <v>257403.1185</v>
      </c>
      <c r="L7" s="12">
        <f>L5-L6</f>
        <v>83831.3114</v>
      </c>
      <c r="M7" s="12">
        <f>M5-M6</f>
        <v>64834.617000000006</v>
      </c>
      <c r="N7" s="12">
        <f>N5-N6</f>
        <v>63806.523550000005</v>
      </c>
      <c r="O7" s="12">
        <f>O5-O6</f>
        <v>65730.91855000002</v>
      </c>
      <c r="P7" s="7">
        <f>P5-P6</f>
        <v>278203.3705</v>
      </c>
    </row>
    <row r="8">
      <c r="A8" s="6" t="inlineStr">
        <is>
          <t xml:space="preserve">Gross Margin %</t>
        </is>
      </c>
      <c r="B8" s="13">
        <f>B7/B5</f>
        <v>0.4815868555051615</v>
      </c>
      <c r="C8" s="13">
        <f>C7/C5</f>
        <v>0.49271451699946034</v>
      </c>
      <c r="D8" s="13">
        <f>D7/D5</f>
        <v>0.500836250308453</v>
      </c>
      <c r="E8" s="13">
        <f>E7/E5</f>
        <v>0.475</v>
      </c>
      <c r="F8" s="8">
        <f>F7/F5</f>
        <v>0.4870387469344121</v>
      </c>
      <c r="G8" s="13">
        <f>G7/G5</f>
        <v>0.4950000000000001</v>
      </c>
      <c r="H8" s="13">
        <f>H7/H5</f>
        <v>0.49499999999999994</v>
      </c>
      <c r="I8" s="13">
        <f>I7/I5</f>
        <v>0.495</v>
      </c>
      <c r="J8" s="13">
        <f>J7/J5</f>
        <v>0.495</v>
      </c>
      <c r="K8" s="8">
        <f>K7/K5</f>
        <v>0.49499999999999994</v>
      </c>
      <c r="L8" s="13">
        <f>L7/L5</f>
        <v>0.5</v>
      </c>
      <c r="M8" s="13">
        <f>M7/M5</f>
        <v>0.5</v>
      </c>
      <c r="N8" s="13">
        <f>N7/N5</f>
        <v>0.5</v>
      </c>
      <c r="O8" s="13">
        <f>O7/O5</f>
        <v>0.5</v>
      </c>
      <c r="P8" s="8">
        <f>P7/P5</f>
        <v>0.5</v>
      </c>
    </row>
    <row r="9">
      <c r="A9" s="6"/>
      <c r="F9" s="9"/>
      <c r="K9" s="9"/>
      <c r="P9" s="9"/>
    </row>
    <row r="10">
      <c r="A10" s="6" t="inlineStr">
        <is>
          <t xml:space="preserve">Research &amp; Development</t>
        </is>
      </c>
      <c r="B10" s="11">
        <v>11200</v>
      </c>
      <c r="C10" s="11">
        <v>11100</v>
      </c>
      <c r="D10" s="11">
        <v>11700</v>
      </c>
      <c r="E10" s="11">
        <f>$B$45</f>
        <v>12200</v>
      </c>
      <c r="F10" s="7">
        <f>SUM(B10:E10)</f>
        <v>46200</v>
      </c>
      <c r="G10" s="12">
        <f>G5*$B$37</f>
        <v>15669.404000000004</v>
      </c>
      <c r="H10" s="12">
        <f>H5*$B$37</f>
        <v>12118.620000000004</v>
      </c>
      <c r="I10" s="12">
        <f>I5*$B$37</f>
        <v>11926.453</v>
      </c>
      <c r="J10" s="12">
        <f>J5*$B$37</f>
        <v>12286.153000000004</v>
      </c>
      <c r="K10" s="7">
        <f>SUM(G10:J10)</f>
        <v>52000.63000000001</v>
      </c>
      <c r="L10" s="12">
        <f>L5*$B$37</f>
        <v>16766.262280000003</v>
      </c>
      <c r="M10" s="12">
        <f>M5*$B$37</f>
        <v>12966.9234</v>
      </c>
      <c r="N10" s="12">
        <f>N5*$B$37</f>
        <v>12761.304710000002</v>
      </c>
      <c r="O10" s="12">
        <f>O5*$B$37</f>
        <v>13146.183710000005</v>
      </c>
      <c r="P10" s="7">
        <f>SUM(L10:O10)</f>
        <v>55640.67410000001</v>
      </c>
    </row>
    <row r="11">
      <c r="A11" s="6" t="inlineStr">
        <is>
          <t xml:space="preserve">Selling, General &amp; Administrative</t>
        </is>
      </c>
      <c r="B11" s="11">
        <v>7179</v>
      </c>
      <c r="C11" s="11">
        <v>7400</v>
      </c>
      <c r="D11" s="11">
        <v>7400</v>
      </c>
      <c r="E11" s="11">
        <f>$B$46</f>
        <v>7600</v>
      </c>
      <c r="F11" s="7">
        <f>SUM(B11:E11)</f>
        <v>29579</v>
      </c>
      <c r="G11" s="12">
        <f>G5*$B$38</f>
        <v>10185.112600000002</v>
      </c>
      <c r="H11" s="12">
        <f>H5*$B$38</f>
        <v>7877.103000000001</v>
      </c>
      <c r="I11" s="12">
        <f>I5*$B$38</f>
        <v>7752.194450000001</v>
      </c>
      <c r="J11" s="12">
        <f>J5*$B$38</f>
        <v>7985.999450000002</v>
      </c>
      <c r="K11" s="7">
        <f>SUM(G11:J11)</f>
        <v>33800.40950000001</v>
      </c>
      <c r="L11" s="12">
        <f>L5*$B$38</f>
        <v>10898.070482</v>
      </c>
      <c r="M11" s="12">
        <f>M5*$B$38</f>
        <v>8428.50021</v>
      </c>
      <c r="N11" s="12">
        <f>N5*$B$38</f>
        <v>8294.8480615</v>
      </c>
      <c r="O11" s="12">
        <f>O5*$B$38</f>
        <v>8545.019411500003</v>
      </c>
      <c r="P11" s="7">
        <f>SUM(L11:O11)</f>
        <v>36166.43816500001</v>
      </c>
    </row>
    <row r="12">
      <c r="A12" s="5" t="inlineStr">
        <is>
          <t xml:space="preserve">Total Operating Expenses</t>
        </is>
      </c>
      <c r="B12" s="12">
        <f>B10+B11</f>
        <v>18379</v>
      </c>
      <c r="C12" s="12">
        <f>C10+C11</f>
        <v>18500</v>
      </c>
      <c r="D12" s="12">
        <f>D10+D11</f>
        <v>19100</v>
      </c>
      <c r="E12" s="12">
        <f>E10+E11</f>
        <v>19800</v>
      </c>
      <c r="F12" s="7">
        <f>F10+F11</f>
        <v>75779</v>
      </c>
      <c r="G12" s="12">
        <f>G10+G11</f>
        <v>25854.516600000006</v>
      </c>
      <c r="H12" s="12">
        <f>H10+H11</f>
        <v>19995.723000000005</v>
      </c>
      <c r="I12" s="12">
        <f>I10+I11</f>
        <v>19678.647450000004</v>
      </c>
      <c r="J12" s="12">
        <f>J10+J11</f>
        <v>20272.152450000005</v>
      </c>
      <c r="K12" s="7">
        <f>K10+K11</f>
        <v>85801.03950000001</v>
      </c>
      <c r="L12" s="12">
        <f>L10+L11</f>
        <v>27664.332762000005</v>
      </c>
      <c r="M12" s="12">
        <f>M10+M11</f>
        <v>21395.42361</v>
      </c>
      <c r="N12" s="12">
        <f>N10+N11</f>
        <v>21056.152771500005</v>
      </c>
      <c r="O12" s="12">
        <f>O10+O11</f>
        <v>21691.20312150001</v>
      </c>
      <c r="P12" s="7">
        <f>P10+P11</f>
        <v>91807.11226500002</v>
      </c>
    </row>
    <row r="13">
      <c r="A13" s="6"/>
      <c r="F13" s="9"/>
      <c r="K13" s="9"/>
      <c r="P13" s="9"/>
    </row>
    <row r="14">
      <c r="A14" s="5" t="inlineStr">
        <is>
          <t xml:space="preserve">Operating Income</t>
        </is>
      </c>
      <c r="B14" s="12">
        <f>B7-B12</f>
        <v>50852</v>
      </c>
      <c r="C14" s="12">
        <f>C7-C12</f>
        <v>36280</v>
      </c>
      <c r="D14" s="12">
        <f>D7-D12</f>
        <v>35700</v>
      </c>
      <c r="E14" s="12">
        <f>E7-E12</f>
        <v>33740.575000000004</v>
      </c>
      <c r="F14" s="7">
        <f>F7-F12</f>
        <v>156572.57499999998</v>
      </c>
      <c r="G14" s="12">
        <f>G7-G12</f>
        <v>51709.03320000002</v>
      </c>
      <c r="H14" s="12">
        <f>H7-H12</f>
        <v>39991.446</v>
      </c>
      <c r="I14" s="12">
        <f>I7-I12</f>
        <v>39357.2949</v>
      </c>
      <c r="J14" s="12">
        <f>J7-J12</f>
        <v>40544.3049</v>
      </c>
      <c r="K14" s="7">
        <f>K7-K12</f>
        <v>171602.07899999997</v>
      </c>
      <c r="L14" s="12">
        <f>L7-L12</f>
        <v>56166.978638</v>
      </c>
      <c r="M14" s="12">
        <f>M7-M12</f>
        <v>43439.19339</v>
      </c>
      <c r="N14" s="12">
        <f>N7-N12</f>
        <v>42750.3707785</v>
      </c>
      <c r="O14" s="12">
        <f>O7-O12</f>
        <v>44039.71542850001</v>
      </c>
      <c r="P14" s="7">
        <f>P7-P12</f>
        <v>186396.258235</v>
      </c>
    </row>
    <row r="15">
      <c r="A15" s="6" t="inlineStr">
        <is>
          <t xml:space="preserve">Operating Margin %</t>
        </is>
      </c>
      <c r="B15" s="13">
        <f>B14/B5</f>
        <v>0.35373827875010433</v>
      </c>
      <c r="C15" s="13">
        <f>C14/C5</f>
        <v>0.32631768303651737</v>
      </c>
      <c r="D15" s="13">
        <f>D14/D5</f>
        <v>0.3262747105111637</v>
      </c>
      <c r="E15" s="13">
        <f>E14/E5</f>
        <v>0.29933883087732993</v>
      </c>
      <c r="F15" s="8">
        <f>F14/F5</f>
        <v>0.3281962290649171</v>
      </c>
      <c r="G15" s="13">
        <f>G14/G5</f>
        <v>0.33000000000000007</v>
      </c>
      <c r="H15" s="13">
        <f>H14/H5</f>
        <v>0.32999999999999996</v>
      </c>
      <c r="I15" s="13">
        <f>I14/I5</f>
        <v>0.32999999999999996</v>
      </c>
      <c r="J15" s="13">
        <f>J14/J5</f>
        <v>0.32999999999999996</v>
      </c>
      <c r="K15" s="8">
        <f>K14/K5</f>
        <v>0.3299999999999999</v>
      </c>
      <c r="L15" s="13">
        <f>L14/L5</f>
        <v>0.33499999999999996</v>
      </c>
      <c r="M15" s="13">
        <f>M14/M5</f>
        <v>0.33499999999999996</v>
      </c>
      <c r="N15" s="13">
        <f>N14/N5</f>
        <v>0.33499999999999996</v>
      </c>
      <c r="O15" s="13">
        <f>O14/O5</f>
        <v>0.33499999999999996</v>
      </c>
      <c r="P15" s="8">
        <f>P14/P5</f>
        <v>0.335</v>
      </c>
    </row>
    <row r="16">
      <c r="A16" s="6" t="inlineStr">
        <is>
          <t xml:space="preserve">Other Income/(Expense), net</t>
        </is>
      </c>
      <c r="B16" s="11">
        <v>-737</v>
      </c>
      <c r="C16" s="11">
        <v>-1066</v>
      </c>
      <c r="D16" s="11">
        <v>-237</v>
      </c>
      <c r="E16" s="11">
        <f>$B$47</f>
        <v>-500</v>
      </c>
      <c r="F16" s="7">
        <f>SUM(B16:E16)</f>
        <v>-2540</v>
      </c>
      <c r="G16" s="12">
        <f>G5*$B$40</f>
        <v>-783.4702000000002</v>
      </c>
      <c r="H16" s="12">
        <f>H5*$B$40</f>
        <v>-605.931</v>
      </c>
      <c r="I16" s="12">
        <f>I5*$B$40</f>
        <v>-596.3226500000001</v>
      </c>
      <c r="J16" s="12">
        <f>J5*$B$40</f>
        <v>-614.3076500000002</v>
      </c>
      <c r="K16" s="7">
        <f>SUM(G16:J16)</f>
        <v>-2600.0315000000005</v>
      </c>
      <c r="L16" s="12">
        <f>L5*$B$40</f>
        <v>-838.313114</v>
      </c>
      <c r="M16" s="12">
        <f>M5*$B$40</f>
        <v>-648.34617</v>
      </c>
      <c r="N16" s="12">
        <f>N5*$B$40</f>
        <v>-638.0652355000001</v>
      </c>
      <c r="O16" s="12">
        <f>O5*$B$40</f>
        <v>-657.3091855000001</v>
      </c>
      <c r="P16" s="7">
        <f>SUM(L16:O16)</f>
        <v>-2782.0337050000003</v>
      </c>
    </row>
    <row r="17">
      <c r="A17" s="5" t="inlineStr">
        <is>
          <t xml:space="preserve">Income Before Taxes</t>
        </is>
      </c>
      <c r="B17" s="12">
        <f>B14+B16</f>
        <v>50115</v>
      </c>
      <c r="C17" s="12">
        <f>C14+C16</f>
        <v>35214</v>
      </c>
      <c r="D17" s="12">
        <f>D14+D16</f>
        <v>35463</v>
      </c>
      <c r="E17" s="12">
        <f>E14+E16</f>
        <v>33240.575000000004</v>
      </c>
      <c r="F17" s="7">
        <f>F14+F16</f>
        <v>154032.57499999998</v>
      </c>
      <c r="G17" s="12">
        <f>G14+G16</f>
        <v>50925.56300000002</v>
      </c>
      <c r="H17" s="12">
        <f>H14+H16</f>
        <v>39385.515</v>
      </c>
      <c r="I17" s="12">
        <f>I14+I16</f>
        <v>38760.97225</v>
      </c>
      <c r="J17" s="12">
        <f>J14+J16</f>
        <v>39929.99725</v>
      </c>
      <c r="K17" s="7">
        <f>K14+K16</f>
        <v>169002.04749999996</v>
      </c>
      <c r="L17" s="12">
        <f>L14+L16</f>
        <v>55328.665524</v>
      </c>
      <c r="M17" s="12">
        <f>M14+M16</f>
        <v>42790.84722</v>
      </c>
      <c r="N17" s="12">
        <f>N14+N16</f>
        <v>42112.305543</v>
      </c>
      <c r="O17" s="12">
        <f>O14+O16</f>
        <v>43382.406243000005</v>
      </c>
      <c r="P17" s="7">
        <f>P14+P16</f>
        <v>183614.22453</v>
      </c>
    </row>
    <row r="18">
      <c r="A18" s="6" t="inlineStr">
        <is>
          <t xml:space="preserve">Provision for Income Taxes</t>
        </is>
      </c>
      <c r="B18" s="12">
        <f>B17*$B$39</f>
        <v>8018.400000000001</v>
      </c>
      <c r="C18" s="12">
        <f>C17*$B$39</f>
        <v>5634.24</v>
      </c>
      <c r="D18" s="12">
        <f>D17*$B$39</f>
        <v>5674.08</v>
      </c>
      <c r="E18" s="12">
        <f>E17*$B$39</f>
        <v>5318.492000000001</v>
      </c>
      <c r="F18" s="7">
        <f>F17*$B$39</f>
        <v>24645.212</v>
      </c>
      <c r="G18" s="12">
        <f>G17*$B$39</f>
        <v>8148.090080000003</v>
      </c>
      <c r="H18" s="12">
        <f>H17*$B$39</f>
        <v>6301.6824</v>
      </c>
      <c r="I18" s="12">
        <f>I17*$B$39</f>
        <v>6201.75556</v>
      </c>
      <c r="J18" s="12">
        <f>J17*$B$39</f>
        <v>6388.79956</v>
      </c>
      <c r="K18" s="7">
        <f>K17*$B$39</f>
        <v>27040.327599999993</v>
      </c>
      <c r="L18" s="12">
        <f>L17*$B$39</f>
        <v>8852.586483840001</v>
      </c>
      <c r="M18" s="12">
        <f>M17*$B$39</f>
        <v>6846.535555200001</v>
      </c>
      <c r="N18" s="12">
        <f>N17*$B$39</f>
        <v>6737.96888688</v>
      </c>
      <c r="O18" s="12">
        <f>O17*$B$39</f>
        <v>6941.184998880001</v>
      </c>
      <c r="P18" s="7">
        <f>P17*$B$39</f>
        <v>29378.2759248</v>
      </c>
    </row>
    <row r="19">
      <c r="A19" s="6" t="inlineStr">
        <is>
          <t xml:space="preserve">Effective Tax Rate %</t>
        </is>
      </c>
      <c r="B19" s="13">
        <f>B18/B17</f>
        <v>0.16</v>
      </c>
      <c r="C19" s="13">
        <f>C18/C17</f>
        <v>0.16</v>
      </c>
      <c r="D19" s="13">
        <f>D18/D17</f>
        <v>0.16</v>
      </c>
      <c r="E19" s="13">
        <f>E18/E17</f>
        <v>0.16</v>
      </c>
      <c r="F19" s="8">
        <f>F18/F17</f>
        <v>0.16</v>
      </c>
      <c r="G19" s="13">
        <f>G18/G17</f>
        <v>0.16</v>
      </c>
      <c r="H19" s="13">
        <f>H18/H17</f>
        <v>0.16</v>
      </c>
      <c r="I19" s="13">
        <f>I18/I17</f>
        <v>0.16</v>
      </c>
      <c r="J19" s="13">
        <f>J18/J17</f>
        <v>0.16</v>
      </c>
      <c r="K19" s="8">
        <f>K18/K17</f>
        <v>0.16</v>
      </c>
      <c r="L19" s="13">
        <f>L18/L17</f>
        <v>0.16</v>
      </c>
      <c r="M19" s="13">
        <f>M18/M17</f>
        <v>0.16</v>
      </c>
      <c r="N19" s="13">
        <f>N18/N17</f>
        <v>0.16</v>
      </c>
      <c r="O19" s="13">
        <f>O18/O17</f>
        <v>0.16</v>
      </c>
      <c r="P19" s="8">
        <f>P18/P17</f>
        <v>0.16</v>
      </c>
    </row>
    <row r="20">
      <c r="A20" s="5" t="inlineStr">
        <is>
          <t xml:space="preserve">Net Income</t>
        </is>
      </c>
      <c r="B20" s="7">
        <f>B17-B18</f>
        <v>42096.6</v>
      </c>
      <c r="C20" s="7">
        <f>C17-C18</f>
        <v>29579.76</v>
      </c>
      <c r="D20" s="7">
        <f>D17-D18</f>
        <v>29788.92</v>
      </c>
      <c r="E20" s="7">
        <f>E17-E18</f>
        <v>27922.083</v>
      </c>
      <c r="F20" s="7">
        <f>F17-F18</f>
        <v>129387.36299999998</v>
      </c>
      <c r="G20" s="7">
        <f>G17-G18</f>
        <v>42777.472920000015</v>
      </c>
      <c r="H20" s="7">
        <f>H17-H18</f>
        <v>33083.8326</v>
      </c>
      <c r="I20" s="7">
        <f>I17-I18</f>
        <v>32559.21669</v>
      </c>
      <c r="J20" s="7">
        <f>J17-J18</f>
        <v>33541.19769</v>
      </c>
      <c r="K20" s="7">
        <f>K17-K18</f>
        <v>141961.71989999997</v>
      </c>
      <c r="L20" s="7">
        <f>L17-L18</f>
        <v>46476.07904016</v>
      </c>
      <c r="M20" s="7">
        <f>M17-M18</f>
        <v>35944.3116648</v>
      </c>
      <c r="N20" s="7">
        <f>N17-N18</f>
        <v>35374.33665612</v>
      </c>
      <c r="O20" s="7">
        <f>O17-O18</f>
        <v>36441.22124412</v>
      </c>
      <c r="P20" s="7">
        <f>P17-P18</f>
        <v>154235.9486052</v>
      </c>
    </row>
    <row r="21">
      <c r="A21" s="6" t="inlineStr">
        <is>
          <t xml:space="preserve">Net Margin %</t>
        </is>
      </c>
      <c r="B21" s="13">
        <f>B20/B5</f>
        <v>0.2928336904198781</v>
      </c>
      <c r="C21" s="13">
        <f>C20/C5</f>
        <v>0.26605288720992987</v>
      </c>
      <c r="D21" s="13">
        <f>D20/D5</f>
        <v>0.272251295502527</v>
      </c>
      <c r="E21" s="13">
        <f>E20/E5</f>
        <v>0.24771847192526417</v>
      </c>
      <c r="F21" s="8">
        <f>F20/F5</f>
        <v>0.271212532752007</v>
      </c>
      <c r="G21" s="13">
        <f>G20/G5</f>
        <v>0.273</v>
      </c>
      <c r="H21" s="13">
        <f>H20/H5</f>
        <v>0.27299999999999996</v>
      </c>
      <c r="I21" s="13">
        <f>I20/I5</f>
        <v>0.27299999999999996</v>
      </c>
      <c r="J21" s="13">
        <f>J20/J5</f>
        <v>0.27299999999999996</v>
      </c>
      <c r="K21" s="8">
        <f>K20/K5</f>
        <v>0.2729999999999999</v>
      </c>
      <c r="L21" s="13">
        <f>L20/L5</f>
        <v>0.2772</v>
      </c>
      <c r="M21" s="13">
        <f>M20/M5</f>
        <v>0.27719999999999995</v>
      </c>
      <c r="N21" s="13">
        <f>N20/N5</f>
        <v>0.2772</v>
      </c>
      <c r="O21" s="13">
        <f>O20/O5</f>
        <v>0.27719999999999995</v>
      </c>
      <c r="P21" s="8">
        <f>P20/P5</f>
        <v>0.2772</v>
      </c>
    </row>
    <row r="22">
      <c r="A22" s="6"/>
      <c r="F22" s="9"/>
      <c r="K22" s="9"/>
      <c r="P22" s="9"/>
    </row>
    <row r="23">
      <c r="A23" s="6" t="inlineStr">
        <is>
          <t xml:space="preserve">Diluted Shares Outstanding (mm)</t>
        </is>
      </c>
      <c r="B23" s="11">
        <v>14823</v>
      </c>
      <c r="C23" s="11">
        <v>14716</v>
      </c>
      <c r="D23" s="11">
        <v>14747</v>
      </c>
      <c r="E23" s="11">
        <f>$B$48</f>
        <v>14650</v>
      </c>
      <c r="F23" s="7">
        <f>AVERAGE(B23:E23)</f>
        <v>14734</v>
      </c>
      <c r="G23" s="12">
        <f>E23*(1-$B$41)</f>
        <v>14576.75</v>
      </c>
      <c r="H23" s="12">
        <f>G23*(1-$B$41)</f>
        <v>14503.86625</v>
      </c>
      <c r="I23" s="12">
        <f>H23*(1-$B$41)</f>
        <v>14431.34691875</v>
      </c>
      <c r="J23" s="12">
        <f>I23*(1-$B$41)</f>
        <v>14359.19018415625</v>
      </c>
      <c r="K23" s="7">
        <f>AVERAGE(G23:J23)</f>
        <v>14467.788338226565</v>
      </c>
      <c r="L23" s="12">
        <f>J23*(1-$B$41)</f>
        <v>14287.394233235467</v>
      </c>
      <c r="M23" s="12">
        <f>L23*(1-$B$41)</f>
        <v>14215.957262069292</v>
      </c>
      <c r="N23" s="12">
        <f>M23*(1-$B$41)</f>
        <v>14144.877475758944</v>
      </c>
      <c r="O23" s="12">
        <f>N23*(1-$B$41)</f>
        <v>14074.15308838015</v>
      </c>
      <c r="P23" s="7">
        <f>AVERAGE(L23:O23)</f>
        <v>14180.595514860965</v>
      </c>
    </row>
    <row r="24">
      <c r="A24" s="6" t="inlineStr">
        <is>
          <t xml:space="preserve">Diluted EPS ($)</t>
        </is>
      </c>
      <c r="B24" s="10">
        <f>B20/B23</f>
        <v>2.839951426836673</v>
      </c>
      <c r="C24" s="10">
        <f>C20/C23</f>
        <v>2.010040771948899</v>
      </c>
      <c r="D24" s="10">
        <f>D20/D23</f>
        <v>2.0199986437919577</v>
      </c>
      <c r="E24" s="10">
        <f>E20/E23</f>
        <v>1.905944232081911</v>
      </c>
      <c r="F24" s="10">
        <f>F20/F23</f>
        <v>8.781550359712229</v>
      </c>
      <c r="G24" s="10">
        <f>G20/G23</f>
        <v>2.934637207882417</v>
      </c>
      <c r="H24" s="10">
        <f>H20/H23</f>
        <v>2.281035417021996</v>
      </c>
      <c r="I24" s="10">
        <f>I20/I23</f>
        <v>2.25614538083741</v>
      </c>
      <c r="J24" s="10">
        <f>J20/J23</f>
        <v>2.335869729409179</v>
      </c>
      <c r="K24" s="10">
        <f>K20/K23</f>
        <v>9.812261320198536</v>
      </c>
      <c r="L24" s="10">
        <f>L20/L23</f>
        <v>3.2529429986642993</v>
      </c>
      <c r="M24" s="10">
        <f>M20/M23</f>
        <v>2.528448208036319</v>
      </c>
      <c r="N24" s="10">
        <f>N20/N23</f>
        <v>2.500858470972509</v>
      </c>
      <c r="O24" s="10">
        <f>O20/O23</f>
        <v>2.589230130955906</v>
      </c>
      <c r="P24" s="10">
        <f>P20/P23</f>
        <v>10.876549468149204</v>
      </c>
    </row>
    <row r="25">
      <c r="A25" s="6"/>
      <c r="F25" s="9"/>
      <c r="K25" s="9"/>
      <c r="P25" s="9"/>
    </row>
    <row r="26">
      <c r="A26" s="6" t="inlineStr">
        <is>
          <t xml:space="preserve">Revenue YoY Growth %</t>
        </is>
      </c>
      <c r="B26" s="13">
        <f>B5/124300-1</f>
        <v>0.15652453740949324</v>
      </c>
      <c r="C26" s="13">
        <f>C5/95400-1</f>
        <v>0.16540880503144662</v>
      </c>
      <c r="D26" s="13">
        <f>D5/94040-1</f>
        <v>0.16351552530837932</v>
      </c>
      <c r="E26" s="13">
        <f>E5/102470-1</f>
        <v>0.10000000000000007</v>
      </c>
      <c r="F26" s="8">
        <f>F5/416000-1</f>
        <v>0.1468028846153846</v>
      </c>
      <c r="G26" s="13">
        <f>G5/B5-1</f>
        <v>0.0900000000000003</v>
      </c>
      <c r="H26" s="13">
        <f>H5/C5-1</f>
        <v>0.09000000000000008</v>
      </c>
      <c r="I26" s="13">
        <f>I5/D5-1</f>
        <v>0.09000000000000008</v>
      </c>
      <c r="J26" s="13">
        <f>J5/E5-1</f>
        <v>0.09000000000000008</v>
      </c>
      <c r="K26" s="8">
        <f>K5/F5-1</f>
        <v>0.09000000000000008</v>
      </c>
      <c r="L26" s="13">
        <f>L5/G5-1</f>
        <v>0.06999999999999984</v>
      </c>
      <c r="M26" s="13">
        <f>M5/H5-1</f>
        <v>0.07000000000000006</v>
      </c>
      <c r="N26" s="13">
        <f>N5/I5-1</f>
        <v>0.07000000000000006</v>
      </c>
      <c r="O26" s="13">
        <f>O5/J5-1</f>
        <v>0.07000000000000006</v>
      </c>
      <c r="P26" s="8">
        <f>P5/K5-1</f>
        <v>0.07000000000000006</v>
      </c>
    </row>
    <row r="29">
      <c r="A29" s="14" t="inlineStr">
        <is>
          <t xml:space="preserve">ASSUMPTIONS</t>
        </is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>
      <c r="A30" t="inlineStr">
        <is>
          <t xml:space="preserve">FY2027E Annual Revenue Growth %</t>
        </is>
      </c>
      <c r="B30" s="16">
        <v>0.09</v>
      </c>
    </row>
    <row r="31">
      <c r="A31" t="inlineStr">
        <is>
          <t xml:space="preserve">FY2028E Annual Revenue Growth %</t>
        </is>
      </c>
      <c r="B31" s="16">
        <v>0.07</v>
      </c>
    </row>
    <row r="33">
      <c r="A33" s="19" t="inlineStr">
        <is>
          <t xml:space="preserve">Seasonal Revenue Weight (Q1/Q2/Q3/Q4) — held flat for FY27E-FY28E</t>
        </is>
      </c>
      <c r="B33" t="inlineStr">
        <is>
          <t xml:space="preserve">Q1 wt</t>
        </is>
      </c>
      <c r="C33" t="inlineStr">
        <is>
          <t xml:space="preserve">Q2 wt</t>
        </is>
      </c>
      <c r="D33" t="inlineStr">
        <is>
          <t xml:space="preserve">Q3 wt</t>
        </is>
      </c>
      <c r="E33" t="inlineStr">
        <is>
          <t xml:space="preserve">Q4 wt</t>
        </is>
      </c>
    </row>
    <row r="34">
      <c r="B34" s="17">
        <f>B5/$F5</f>
        <v>0.3013310415662272</v>
      </c>
      <c r="C34" s="17">
        <f>C5/$F5</f>
        <v>0.23304756115454756</v>
      </c>
      <c r="D34" s="17">
        <f>D5/$F5</f>
        <v>0.22935208669587273</v>
      </c>
      <c r="E34" s="17">
        <f>E5/$F5</f>
        <v>0.23626931058335257</v>
      </c>
    </row>
    <row r="35">
      <c r="A35" t="inlineStr">
        <is>
          <t xml:space="preserve">FY2027E Gross Margin % (applied to all quarters)</t>
        </is>
      </c>
      <c r="B35" s="16">
        <v>0.495</v>
      </c>
    </row>
    <row r="36">
      <c r="A36" t="inlineStr">
        <is>
          <t xml:space="preserve">FY2028E Gross Margin % (applied to all quarters)</t>
        </is>
      </c>
      <c r="B36" s="16">
        <v>0.5</v>
      </c>
    </row>
    <row r="37">
      <c r="A37" t="inlineStr">
        <is>
          <t xml:space="preserve">R&amp;D % of Revenue (FY27E-FY28E)</t>
        </is>
      </c>
      <c r="B37" s="16">
        <v>0.1</v>
      </c>
    </row>
    <row r="38">
      <c r="A38" t="inlineStr">
        <is>
          <t xml:space="preserve">SG&amp;A % of Revenue (FY27E-FY28E)</t>
        </is>
      </c>
      <c r="B38" s="16">
        <v>0.065</v>
      </c>
    </row>
    <row r="39">
      <c r="A39" t="inlineStr">
        <is>
          <t xml:space="preserve">Effective Tax Rate (all forecast &amp; historical-derived periods)</t>
        </is>
      </c>
      <c r="B39" s="16">
        <v>0.16</v>
      </c>
    </row>
    <row r="40">
      <c r="A40" t="inlineStr">
        <is>
          <t xml:space="preserve">Other Income/(Expense) as % of Revenue (FY27E-FY28E)</t>
        </is>
      </c>
      <c r="B40" s="16">
        <v>-0.005</v>
      </c>
    </row>
    <row r="41">
      <c r="A41" t="inlineStr">
        <is>
          <t xml:space="preserve">Diluted Share Count Quarterly Reduction Rate (buybacks)</t>
        </is>
      </c>
      <c r="B41" s="16">
        <v>0.005</v>
      </c>
    </row>
    <row r="43">
      <c r="A43" t="inlineStr">
        <is>
          <t xml:space="preserve">Q4 FY26E Revenue YoY Growth % (vs Q4 FY25A $102,470mm)</t>
        </is>
      </c>
      <c r="B43" s="16">
        <v>0.1</v>
      </c>
    </row>
    <row r="44">
      <c r="A44" t="inlineStr">
        <is>
          <t xml:space="preserve">Q4 FY26E Gross Margin %</t>
        </is>
      </c>
      <c r="B44" s="16">
        <v>0.475</v>
      </c>
    </row>
    <row r="45">
      <c r="A45" t="inlineStr">
        <is>
          <t xml:space="preserve">Q4 FY26E R&amp;D ($mm)</t>
        </is>
      </c>
      <c r="B45" s="18">
        <v>12200</v>
      </c>
    </row>
    <row r="46">
      <c r="A46" t="inlineStr">
        <is>
          <t xml:space="preserve">Q4 FY26E SG&amp;A ($mm)</t>
        </is>
      </c>
      <c r="B46" s="18">
        <v>7600</v>
      </c>
    </row>
    <row r="47">
      <c r="A47" t="inlineStr">
        <is>
          <t xml:space="preserve">Q4 FY26E Other Income/(Expense) ($mm)</t>
        </is>
      </c>
      <c r="B47" s="18">
        <v>-500</v>
      </c>
    </row>
    <row r="48">
      <c r="A48" t="inlineStr">
        <is>
          <t xml:space="preserve">Q4 FY26E Diluted Shares (mm)</t>
        </is>
      </c>
      <c r="B48" s="18">
        <v>14650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2026-08-17T01:44:26Z</dcterms:created>
  <dcterms:modified xsi:type="dcterms:W3CDTF">2026-08-17T01:44:26Z</dcterms:modified>
</cp:coreProperties>
</file>