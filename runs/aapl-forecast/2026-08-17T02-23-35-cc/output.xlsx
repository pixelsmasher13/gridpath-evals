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Assumptions" sheetId="2" state="visible" r:id="rId4"/>
    <sheet name="Quarterly Model" sheetId="3" state="visible" r:id="rId5"/>
    <sheet name="Annual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<sst xmlns="http://schemas.openxmlformats.org/spreadsheetml/2006/main" count="159" uniqueCount="116">
  <si>
    <t xml:space="preserve">Apple Inc. (AAPL) — Income Statement Forecast</t>
  </si>
  <si>
    <t xml:space="preserve">Fiscal Years 2026–2028, Quarterly Detail</t>
  </si>
  <si>
    <t xml:space="preserve">Prepared: August 16, 2026</t>
  </si>
  <si>
    <t xml:space="preserve">Fiscal calendar</t>
  </si>
  <si>
    <t xml:space="preserve">Apple's fiscal year ends the last Saturday of September. FY2026 = Oct 2025–Sep 2026, FY2027 = Oct 2026–Sep 2027, FY2028 = Oct 2027–Sep 2028. Quarters are ~13 weeks each.</t>
  </si>
  <si>
    <t xml:space="preserve">Actuals basis</t>
  </si>
  <si>
    <t xml:space="preserve">FY2024, FY2025, and FY2026 Q1–Q3 are actual reported results, sourced directly from Apple's SEC Form 8-K Exhibit 99.1 press releases and Form 10-K/10-Q filings (condensed consolidated statements of operations). Figures are in millions of USD except per-share amounts and percentages.</t>
  </si>
  <si>
    <t xml:space="preserve">Forecast basis</t>
  </si>
  <si>
    <t xml:space="preserve">FY2026 Q4 through FY2028 Q4 (9 quarters) are forecast using explicit driver assumptions on the Assumptions tab: Products/Services revenue growth (YoY), Products/Services gross margin, R&amp;D and SG&amp;A as % of revenue, effective tax rate, and annual diluted share count reduction from buybacks.</t>
  </si>
  <si>
    <t xml:space="preserve">FY2026 Q4 guidance</t>
  </si>
  <si>
    <t xml:space="preserve">Apple's CFO guided (July 30, 2026 earnings call) to September-quarter total revenue growth of 9%–11% YoY and gross margin of 47%–48% (including ~1pt tariff-refund benefit, offset by FX and component-cost headwinds). The FY2026 Q4 assumptions below are calibrated to this guidance.</t>
  </si>
  <si>
    <t xml:space="preserve">FY2027–FY2028 trajectory</t>
  </si>
  <si>
    <t xml:space="preserve">Growth is assumed to decelerate from FY2026's elevated pace (iPhone 17 / Apple Intelligence upgrade cycle, +16-17% YoY) toward a high-single to low-double-digit blended growth rate in FY2027, and high-single-digit in FY2028, broadly consistent with available sell-side consensus (~$533B FY2027 and ~$574B FY2028 revenue estimates). Products gross margin is assumed to recover gradually from the FY2026 Q4 guided compression (semiconductor/memory cost inflation, FX) as the model progresses through FY2027-FY2028; Services margin continues its steady multi-year uptrend.</t>
  </si>
  <si>
    <t xml:space="preserve">Formula integrity</t>
  </si>
  <si>
    <t xml:space="preserve">All subtotal, margin, growth-rate, and per-share rows are live formulas — including in historical columns, where they recompute from the reported input lines as an internal consistency check. Only the primary reported/assumed line items (net sales by category, cost of sales by category, opex lines, other income/expense, tax provision, share counts in actual columns; growth/margin/rate assumptions in forecast columns) are hardcoded inputs, shown in blue.</t>
  </si>
  <si>
    <t xml:space="preserve">Sheets</t>
  </si>
  <si>
    <t xml:space="preserve">Assumptions — forecast driver inputs.  Quarterly Model — full income statement, FY2024 Q1 through FY2028 Q4 with fiscal-year subtotal columns.  Annual Summary — fiscal-year roll-up with YoY growth.</t>
  </si>
  <si>
    <t xml:space="preserve">Color legend:</t>
  </si>
  <si>
    <t xml:space="preserve">Blue text = hardcoded actual/assumption input</t>
  </si>
  <si>
    <t xml:space="preserve">Black text = live formula</t>
  </si>
  <si>
    <t xml:space="preserve">AAPL Forecast Assumptions — FY2026 Q4 through FY2028 Q4</t>
  </si>
  <si>
    <t xml:space="preserve">Fiscal Quarter</t>
  </si>
  <si>
    <t xml:space="preserve">Products Net
Sales Growth (YoY)</t>
  </si>
  <si>
    <t xml:space="preserve">Services Net
Sales Growth (YoY)</t>
  </si>
  <si>
    <t xml:space="preserve">Products Gross
Margin %</t>
  </si>
  <si>
    <t xml:space="preserve">Services Gross
Margin %</t>
  </si>
  <si>
    <t xml:space="preserve">R&amp;D
(% of Net Sales)</t>
  </si>
  <si>
    <t xml:space="preserve">SG&amp;A
(% of Net Sales)</t>
  </si>
  <si>
    <t xml:space="preserve">Other Income/(Exp)
(% of Net Sales)</t>
  </si>
  <si>
    <t xml:space="preserve">Effective
Tax Rate</t>
  </si>
  <si>
    <t xml:space="preserve">Diluted Share Count
Reduction (YoY, buybacks)</t>
  </si>
  <si>
    <t xml:space="preserve">FY2026 Q4</t>
  </si>
  <si>
    <t xml:space="preserve">FY2027 Q1</t>
  </si>
  <si>
    <t xml:space="preserve">FY2027 Q2</t>
  </si>
  <si>
    <t xml:space="preserve">FY2027 Q3</t>
  </si>
  <si>
    <t xml:space="preserve">FY2027 Q4</t>
  </si>
  <si>
    <t xml:space="preserve">FY2028 Q1</t>
  </si>
  <si>
    <t xml:space="preserve">FY2028 Q2</t>
  </si>
  <si>
    <t xml:space="preserve">FY2028 Q3</t>
  </si>
  <si>
    <t xml:space="preserve">FY2028 Q4</t>
  </si>
  <si>
    <t xml:space="preserve">Notes:</t>
  </si>
  <si>
    <t xml:space="preserve">• FY2026 Q4 growth/margin assumptions are calibrated to Apple's official guidance from the July 30, 2026 Q3 FY2026 earnings call: total revenue +9%–11% YoY, gross margin 47%–48% (incl. ~1pt tariff-refund benefit).</t>
  </si>
  <si>
    <t xml:space="preserve">• Products revenue growth decelerates from FY2026's iPhone 17 / Apple Intelligence upgrade-cycle pace (+16-18% YoY in Q1-Q3 FY2026) toward high-single-digit growth as compares normalize through FY2027-FY2028.</t>
  </si>
  <si>
    <t xml:space="preserve">• Services revenue growth assumed to continue its steady low-teens YoY pace, consistent with FY2025-FY2026 actuals (App Store, advertising, AppleCare, subscriptions).</t>
  </si>
  <si>
    <t xml:space="preserve">• Products gross margin assumed to trough with FY2026 Q4 guidance (component/memory cost inflation, FX headwind), then recover gradually through FY2027-FY2028 as costs normalize and mix improves.</t>
  </si>
  <si>
    <t xml:space="preserve">• Effective tax rate held at 18.0%, in line with the FY2026 run-rate of 17.5-17.9% (up from FY2025's 15.6%, reflecting global minimum tax / Pillar Two phase-in).</t>
  </si>
  <si>
    <t xml:space="preserve">• Diluted share count assumed to shrink 2.0% YoY per quarter from continued buybacks, in line with the recent 1.6-2.7% annual pace observed FY2024-FY2026.</t>
  </si>
  <si>
    <t xml:space="preserve">• R&amp;D and SG&amp;A % of revenue assumptions hold each fiscal quarter at its trailing same-quarter-type actual ratio (Q1 revenue-heavy quarters dilute opex ratios; Q2/Q3 run higher R&amp;D intensity), consistent with FY2024-FY2026 seasonal patterns.</t>
  </si>
  <si>
    <t xml:space="preserve">Apple Inc. — Quarterly Income Statement: Actuals (FY2024–FY2026 Q3) &amp; Forecast (FY2026 Q4–FY2028)</t>
  </si>
  <si>
    <t xml:space="preserve">FY2024 (Actual)</t>
  </si>
  <si>
    <t xml:space="preserve">FY2025 (Actual)</t>
  </si>
  <si>
    <t xml:space="preserve">FY2026 (Actual Q1-Q3 / Forecast Q4)</t>
  </si>
  <si>
    <t xml:space="preserve">FY2027 (Forecast)</t>
  </si>
  <si>
    <t xml:space="preserve">FY2028 (Forecast)</t>
  </si>
  <si>
    <t xml:space="preserve">Q1</t>
  </si>
  <si>
    <t xml:space="preserve">Q2</t>
  </si>
  <si>
    <t xml:space="preserve">Q3</t>
  </si>
  <si>
    <t xml:space="preserve">Q4</t>
  </si>
  <si>
    <t xml:space="preserve">FY Total</t>
  </si>
  <si>
    <t xml:space="preserve">Dec-23</t>
  </si>
  <si>
    <t xml:space="preserve">Mar-24</t>
  </si>
  <si>
    <t xml:space="preserve">Jun-24</t>
  </si>
  <si>
    <t xml:space="preserve">Sep-24</t>
  </si>
  <si>
    <t xml:space="preserve">Dec-24</t>
  </si>
  <si>
    <t xml:space="preserve">Mar-25</t>
  </si>
  <si>
    <t xml:space="preserve">Jun-25</t>
  </si>
  <si>
    <t xml:space="preserve">Sep-25</t>
  </si>
  <si>
    <t xml:space="preserve">Dec-25</t>
  </si>
  <si>
    <t xml:space="preserve">Mar-26</t>
  </si>
  <si>
    <t xml:space="preserve">Jun-26</t>
  </si>
  <si>
    <t xml:space="preserve">Sep-26 (E)</t>
  </si>
  <si>
    <t xml:space="preserve">Dec-26 (E)</t>
  </si>
  <si>
    <t xml:space="preserve">Mar-27 (E)</t>
  </si>
  <si>
    <t xml:space="preserve">Jun-27 (E)</t>
  </si>
  <si>
    <t xml:space="preserve">Sep-27 (E)</t>
  </si>
  <si>
    <t xml:space="preserve">Dec-27 (E)</t>
  </si>
  <si>
    <t xml:space="preserve">Mar-28 (E)</t>
  </si>
  <si>
    <t xml:space="preserve">Jun-28 (E)</t>
  </si>
  <si>
    <t xml:space="preserve">Sep-28 (E)</t>
  </si>
  <si>
    <t xml:space="preserve">Net Sales — Products</t>
  </si>
  <si>
    <t xml:space="preserve">Net Sales — Services</t>
  </si>
  <si>
    <t xml:space="preserve">Total Net Sales</t>
  </si>
  <si>
    <t xml:space="preserve">  YoY Growth %</t>
  </si>
  <si>
    <t xml:space="preserve">Cost of Sales — Products</t>
  </si>
  <si>
    <t xml:space="preserve">Cost of Sales — Services</t>
  </si>
  <si>
    <t xml:space="preserve">Total Cost of Sales</t>
  </si>
  <si>
    <t xml:space="preserve">Gross Margin ($)</t>
  </si>
  <si>
    <t xml:space="preserve">  Gross Margin %</t>
  </si>
  <si>
    <t xml:space="preserve">Research &amp; Development</t>
  </si>
  <si>
    <t xml:space="preserve">Selling, General &amp; Administrative</t>
  </si>
  <si>
    <t xml:space="preserve">Total Operating Expenses</t>
  </si>
  <si>
    <t xml:space="preserve">Operating Income</t>
  </si>
  <si>
    <t xml:space="preserve">  Operating Margin %</t>
  </si>
  <si>
    <t xml:space="preserve">Other Income/(Expense), net</t>
  </si>
  <si>
    <t xml:space="preserve">Income Before Provision for Income Taxes</t>
  </si>
  <si>
    <t xml:space="preserve">Provision for Income Taxes</t>
  </si>
  <si>
    <t xml:space="preserve">  Effective Tax Rate %</t>
  </si>
  <si>
    <t xml:space="preserve">Net Income</t>
  </si>
  <si>
    <t xml:space="preserve">  Net Margin %</t>
  </si>
  <si>
    <t xml:space="preserve">Diluted Weighted-Avg Shares (M)</t>
  </si>
  <si>
    <t xml:space="preserve">Basic Weighted-Avg Shares (M)</t>
  </si>
  <si>
    <t xml:space="preserve">Diluted EPS</t>
  </si>
  <si>
    <t xml:space="preserve">Basic EPS</t>
  </si>
  <si>
    <t xml:space="preserve">  Products % of Net Sales</t>
  </si>
  <si>
    <t xml:space="preserve">  Services % of Net Sales</t>
  </si>
  <si>
    <t xml:space="preserve">Apple Inc. — Annual Income Statement Summary (FY2024–FY2028)</t>
  </si>
  <si>
    <t xml:space="preserve">FY2024</t>
  </si>
  <si>
    <t xml:space="preserve">FY2025</t>
  </si>
  <si>
    <t xml:space="preserve">FY2026</t>
  </si>
  <si>
    <t xml:space="preserve">FY2027</t>
  </si>
  <si>
    <t xml:space="preserve">FY2028</t>
  </si>
  <si>
    <t xml:space="preserve">Actual</t>
  </si>
  <si>
    <t xml:space="preserve">Actual thru Q3 / Fcst Q4</t>
  </si>
  <si>
    <t xml:space="preserve">Forecast</t>
  </si>
  <si>
    <t xml:space="preserve">  Net Income YoY Growth %</t>
  </si>
  <si>
    <t xml:space="preserve">  Diluted EPS YoY Growth 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</si>
</sst>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"/>
    <numFmt numFmtId="167" formatCode="#,##0.0"/>
    <numFmt numFmtId="168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Cambria"/>
      <family val="0"/>
      <charset val="1"/>
    </font>
    <font>
      <sz val="13"/>
      <color rgb="FF555555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1F4E78"/>
      <name val="Cambria"/>
      <family val="0"/>
      <charset val="1"/>
    </font>
    <font>
      <sz val="10"/>
      <color rgb="FF000000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8"/>
      <color rgb="FF666666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A6A6A6"/>
        <bgColor rgb="FFBFBFBF"/>
      </patternFill>
    </fill>
    <fill>
      <patternFill patternType="solid">
        <fgColor rgb="FF555555"/>
        <bgColor rgb="FF666666"/>
      </patternFill>
    </fill>
    <fill>
      <patternFill patternType="solid">
        <fgColor rgb="FF2E5B88"/>
        <bgColor rgb="FF1F4E78"/>
      </patternFill>
    </fill>
    <fill>
      <patternFill patternType="solid">
        <fgColor rgb="FF333333"/>
        <bgColor rgb="FF003366"/>
      </patternFill>
    </fill>
    <fill>
      <patternFill patternType="solid">
        <fgColor rgb="FF8A5A00"/>
        <bgColor rgb="FF993300"/>
      </patternFill>
    </fill>
    <fill>
      <patternFill patternType="solid">
        <fgColor rgb="FFF2F2F2"/>
        <bgColor rgb="FFFFF6E5"/>
      </patternFill>
    </fill>
    <fill>
      <patternFill patternType="solid">
        <fgColor rgb="FFFFF6E5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008080"/>
      <rgbColor rgb="FFBFBFBF"/>
      <rgbColor rgb="FF808080"/>
      <rgbColor rgb="FF9999FF"/>
      <rgbColor rgb="FF993366"/>
      <rgbColor rgb="FFFFF6E5"/>
      <rgbColor rgb="FFF2F2F2"/>
      <rgbColor rgb="FF660066"/>
      <rgbColor rgb="FFFF8080"/>
      <rgbColor rgb="FF2E5B8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6A6A6"/>
      <rgbColor rgb="FF003366"/>
      <rgbColor rgb="FF339966"/>
      <rgbColor rgb="FF003300"/>
      <rgbColor rgb="FF555555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2" customFormat="false" ht="22.05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7" customFormat="false" ht="15" hidden="false" customHeight="false" outlineLevel="0" collapsed="false">
      <c r="B7" s="4" t="s">
        <v>3</v>
      </c>
    </row>
    <row r="8" customFormat="false" ht="48" hidden="false" customHeight="true" outlineLevel="0" collapsed="false">
      <c r="B8" s="5" t="s">
        <v>4</v>
      </c>
    </row>
    <row r="10" customFormat="false" ht="15" hidden="false" customHeight="false" outlineLevel="0" collapsed="false">
      <c r="B10" s="4" t="s">
        <v>5</v>
      </c>
    </row>
    <row r="11" customFormat="false" ht="48" hidden="false" customHeight="true" outlineLevel="0" collapsed="false">
      <c r="B11" s="5" t="s">
        <v>6</v>
      </c>
    </row>
    <row r="13" customFormat="false" ht="15" hidden="false" customHeight="false" outlineLevel="0" collapsed="false">
      <c r="B13" s="4" t="s">
        <v>7</v>
      </c>
    </row>
    <row r="14" customFormat="false" ht="48" hidden="false" customHeight="true" outlineLevel="0" collapsed="false">
      <c r="B14" s="5" t="s">
        <v>8</v>
      </c>
    </row>
    <row r="16" customFormat="false" ht="15" hidden="false" customHeight="false" outlineLevel="0" collapsed="false">
      <c r="B16" s="4" t="s">
        <v>9</v>
      </c>
    </row>
    <row r="17" customFormat="false" ht="48" hidden="false" customHeight="true" outlineLevel="0" collapsed="false">
      <c r="B17" s="5" t="s">
        <v>10</v>
      </c>
    </row>
    <row r="19" customFormat="false" ht="15" hidden="false" customHeight="false" outlineLevel="0" collapsed="false">
      <c r="B19" s="4" t="s">
        <v>11</v>
      </c>
    </row>
    <row r="20" customFormat="false" ht="48" hidden="false" customHeight="true" outlineLevel="0" collapsed="false">
      <c r="B20" s="5" t="s">
        <v>12</v>
      </c>
    </row>
    <row r="22" customFormat="false" ht="15" hidden="false" customHeight="false" outlineLevel="0" collapsed="false">
      <c r="B22" s="4" t="s">
        <v>13</v>
      </c>
    </row>
    <row r="23" customFormat="false" ht="48" hidden="false" customHeight="true" outlineLevel="0" collapsed="false">
      <c r="B23" s="5" t="s">
        <v>14</v>
      </c>
    </row>
    <row r="25" customFormat="false" ht="15" hidden="false" customHeight="false" outlineLevel="0" collapsed="false">
      <c r="B25" s="4" t="s">
        <v>15</v>
      </c>
    </row>
    <row r="26" customFormat="false" ht="48" hidden="false" customHeight="true" outlineLevel="0" collapsed="false">
      <c r="B26" s="5" t="s">
        <v>16</v>
      </c>
    </row>
    <row r="29" customFormat="false" ht="15" hidden="false" customHeight="false" outlineLevel="0" collapsed="false">
      <c r="B29" s="6" t="s">
        <v>17</v>
      </c>
    </row>
    <row r="30" customFormat="false" ht="15" hidden="false" customHeight="false" outlineLevel="0" collapsed="false">
      <c r="B30" s="7" t="s">
        <v>18</v>
      </c>
    </row>
    <row r="31" customFormat="false" ht="15" hidden="false" customHeight="false" outlineLevel="0" collapsed="false">
      <c r="B31" s="8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10" min="2" style="0" width="15"/>
  </cols>
  <sheetData>
    <row r="1" customFormat="false" ht="16.15" hidden="false" customHeight="false" outlineLevel="0" collapsed="false">
      <c r="A1" s="9" t="s">
        <v>20</v>
      </c>
      <c r="B1" s="9"/>
      <c r="C1" s="9"/>
      <c r="D1" s="9"/>
      <c r="E1" s="9"/>
      <c r="F1" s="9"/>
      <c r="G1" s="9"/>
      <c r="H1" s="9"/>
      <c r="I1" s="9"/>
      <c r="J1" s="9"/>
    </row>
    <row r="3" customFormat="false" ht="31.5" hidden="false" customHeight="true" outlineLevel="0" collapsed="false">
      <c r="A3" s="10" t="s">
        <v>21</v>
      </c>
      <c r="B3" s="10" t="s">
        <v>22</v>
      </c>
      <c r="C3" s="10" t="s">
        <v>23</v>
      </c>
      <c r="D3" s="10" t="s">
        <v>24</v>
      </c>
      <c r="E3" s="10" t="s">
        <v>25</v>
      </c>
      <c r="F3" s="10" t="s">
        <v>26</v>
      </c>
      <c r="G3" s="10" t="s">
        <v>27</v>
      </c>
      <c r="H3" s="10" t="s">
        <v>28</v>
      </c>
      <c r="I3" s="10" t="s">
        <v>29</v>
      </c>
      <c r="J3" s="10" t="s">
        <v>30</v>
      </c>
    </row>
    <row r="4" customFormat="false" ht="15" hidden="false" customHeight="false" outlineLevel="0" collapsed="false">
      <c r="A4" s="11" t="s">
        <v>31</v>
      </c>
      <c r="B4" s="12" t="n">
        <v>0.09</v>
      </c>
      <c r="C4" s="12" t="n">
        <v>0.13</v>
      </c>
      <c r="D4" s="12" t="n">
        <v>0.358</v>
      </c>
      <c r="E4" s="12" t="n">
        <v>0.765</v>
      </c>
      <c r="F4" s="12" t="n">
        <v>0.089</v>
      </c>
      <c r="G4" s="12" t="n">
        <v>0.066</v>
      </c>
      <c r="H4" s="12" t="n">
        <v>0.001</v>
      </c>
      <c r="I4" s="12" t="n">
        <v>0.18</v>
      </c>
      <c r="J4" s="12" t="n">
        <v>0.02</v>
      </c>
    </row>
    <row r="5" customFormat="false" ht="15" hidden="false" customHeight="false" outlineLevel="0" collapsed="false">
      <c r="A5" s="11" t="s">
        <v>32</v>
      </c>
      <c r="B5" s="12" t="n">
        <v>0.08</v>
      </c>
      <c r="C5" s="12" t="n">
        <v>0.13</v>
      </c>
      <c r="D5" s="12" t="n">
        <v>0.365</v>
      </c>
      <c r="E5" s="12" t="n">
        <v>0.765</v>
      </c>
      <c r="F5" s="12" t="n">
        <v>0.077</v>
      </c>
      <c r="G5" s="12" t="n">
        <v>0.052</v>
      </c>
      <c r="H5" s="12" t="n">
        <v>0.001</v>
      </c>
      <c r="I5" s="12" t="n">
        <v>0.18</v>
      </c>
      <c r="J5" s="12" t="n">
        <v>0.02</v>
      </c>
    </row>
    <row r="6" customFormat="false" ht="15" hidden="false" customHeight="false" outlineLevel="0" collapsed="false">
      <c r="A6" s="11" t="s">
        <v>33</v>
      </c>
      <c r="B6" s="12" t="n">
        <v>0.08</v>
      </c>
      <c r="C6" s="12" t="n">
        <v>0.13</v>
      </c>
      <c r="D6" s="12" t="n">
        <v>0.37</v>
      </c>
      <c r="E6" s="12" t="n">
        <v>0.767</v>
      </c>
      <c r="F6" s="12" t="n">
        <v>0.103</v>
      </c>
      <c r="G6" s="12" t="n">
        <v>0.066</v>
      </c>
      <c r="H6" s="12" t="n">
        <v>0.001</v>
      </c>
      <c r="I6" s="12" t="n">
        <v>0.18</v>
      </c>
      <c r="J6" s="12" t="n">
        <v>0.02</v>
      </c>
    </row>
    <row r="7" customFormat="false" ht="15" hidden="false" customHeight="false" outlineLevel="0" collapsed="false">
      <c r="A7" s="11" t="s">
        <v>34</v>
      </c>
      <c r="B7" s="12" t="n">
        <v>0.08</v>
      </c>
      <c r="C7" s="12" t="n">
        <v>0.13</v>
      </c>
      <c r="D7" s="12" t="n">
        <v>0.375</v>
      </c>
      <c r="E7" s="12" t="n">
        <v>0.768</v>
      </c>
      <c r="F7" s="12" t="n">
        <v>0.107</v>
      </c>
      <c r="G7" s="12" t="n">
        <v>0.066</v>
      </c>
      <c r="H7" s="12" t="n">
        <v>0.001</v>
      </c>
      <c r="I7" s="12" t="n">
        <v>0.18</v>
      </c>
      <c r="J7" s="12" t="n">
        <v>0.02</v>
      </c>
    </row>
    <row r="8" customFormat="false" ht="15" hidden="false" customHeight="false" outlineLevel="0" collapsed="false">
      <c r="A8" s="11" t="s">
        <v>35</v>
      </c>
      <c r="B8" s="12" t="n">
        <v>0.08</v>
      </c>
      <c r="C8" s="12" t="n">
        <v>0.13</v>
      </c>
      <c r="D8" s="12" t="n">
        <v>0.38</v>
      </c>
      <c r="E8" s="12" t="n">
        <v>0.77</v>
      </c>
      <c r="F8" s="12" t="n">
        <v>0.089</v>
      </c>
      <c r="G8" s="12" t="n">
        <v>0.066</v>
      </c>
      <c r="H8" s="12" t="n">
        <v>0.001</v>
      </c>
      <c r="I8" s="12" t="n">
        <v>0.18</v>
      </c>
      <c r="J8" s="12" t="n">
        <v>0.02</v>
      </c>
    </row>
    <row r="9" customFormat="false" ht="15" hidden="false" customHeight="false" outlineLevel="0" collapsed="false">
      <c r="A9" s="11" t="s">
        <v>36</v>
      </c>
      <c r="B9" s="12" t="n">
        <v>0.06</v>
      </c>
      <c r="C9" s="12" t="n">
        <v>0.12</v>
      </c>
      <c r="D9" s="12" t="n">
        <v>0.385</v>
      </c>
      <c r="E9" s="12" t="n">
        <v>0.77</v>
      </c>
      <c r="F9" s="12" t="n">
        <v>0.077</v>
      </c>
      <c r="G9" s="12" t="n">
        <v>0.052</v>
      </c>
      <c r="H9" s="12" t="n">
        <v>0.001</v>
      </c>
      <c r="I9" s="12" t="n">
        <v>0.18</v>
      </c>
      <c r="J9" s="12" t="n">
        <v>0.02</v>
      </c>
    </row>
    <row r="10" customFormat="false" ht="15" hidden="false" customHeight="false" outlineLevel="0" collapsed="false">
      <c r="A10" s="11" t="s">
        <v>37</v>
      </c>
      <c r="B10" s="12" t="n">
        <v>0.06</v>
      </c>
      <c r="C10" s="12" t="n">
        <v>0.12</v>
      </c>
      <c r="D10" s="12" t="n">
        <v>0.39</v>
      </c>
      <c r="E10" s="12" t="n">
        <v>0.772</v>
      </c>
      <c r="F10" s="12" t="n">
        <v>0.103</v>
      </c>
      <c r="G10" s="12" t="n">
        <v>0.066</v>
      </c>
      <c r="H10" s="12" t="n">
        <v>0.001</v>
      </c>
      <c r="I10" s="12" t="n">
        <v>0.18</v>
      </c>
      <c r="J10" s="12" t="n">
        <v>0.02</v>
      </c>
    </row>
    <row r="11" customFormat="false" ht="15" hidden="false" customHeight="false" outlineLevel="0" collapsed="false">
      <c r="A11" s="11" t="s">
        <v>38</v>
      </c>
      <c r="B11" s="12" t="n">
        <v>0.06</v>
      </c>
      <c r="C11" s="12" t="n">
        <v>0.12</v>
      </c>
      <c r="D11" s="12" t="n">
        <v>0.395</v>
      </c>
      <c r="E11" s="12" t="n">
        <v>0.773</v>
      </c>
      <c r="F11" s="12" t="n">
        <v>0.107</v>
      </c>
      <c r="G11" s="12" t="n">
        <v>0.066</v>
      </c>
      <c r="H11" s="12" t="n">
        <v>0.001</v>
      </c>
      <c r="I11" s="12" t="n">
        <v>0.18</v>
      </c>
      <c r="J11" s="12" t="n">
        <v>0.02</v>
      </c>
    </row>
    <row r="12" customFormat="false" ht="15" hidden="false" customHeight="false" outlineLevel="0" collapsed="false">
      <c r="A12" s="11" t="s">
        <v>39</v>
      </c>
      <c r="B12" s="12" t="n">
        <v>0.06</v>
      </c>
      <c r="C12" s="12" t="n">
        <v>0.12</v>
      </c>
      <c r="D12" s="12" t="n">
        <v>0.4</v>
      </c>
      <c r="E12" s="12" t="n">
        <v>0.775</v>
      </c>
      <c r="F12" s="12" t="n">
        <v>0.089</v>
      </c>
      <c r="G12" s="12" t="n">
        <v>0.066</v>
      </c>
      <c r="H12" s="12" t="n">
        <v>0.001</v>
      </c>
      <c r="I12" s="12" t="n">
        <v>0.18</v>
      </c>
      <c r="J12" s="12" t="n">
        <v>0.02</v>
      </c>
    </row>
    <row r="15" customFormat="false" ht="15" hidden="false" customHeight="false" outlineLevel="0" collapsed="false">
      <c r="A15" s="6" t="s">
        <v>40</v>
      </c>
    </row>
    <row r="16" customFormat="false" ht="25.5" hidden="false" customHeight="true" outlineLevel="0" collapsed="false">
      <c r="A16" s="13" t="s">
        <v>41</v>
      </c>
      <c r="B16" s="13"/>
      <c r="C16" s="13"/>
      <c r="D16" s="13"/>
      <c r="E16" s="13"/>
      <c r="F16" s="13"/>
      <c r="G16" s="13"/>
      <c r="H16" s="13"/>
      <c r="I16" s="13"/>
      <c r="J16" s="13"/>
    </row>
    <row r="17" customFormat="false" ht="25.5" hidden="false" customHeight="true" outlineLevel="0" collapsed="false">
      <c r="A17" s="13" t="s">
        <v>42</v>
      </c>
      <c r="B17" s="13"/>
      <c r="C17" s="13"/>
      <c r="D17" s="13"/>
      <c r="E17" s="13"/>
      <c r="F17" s="13"/>
      <c r="G17" s="13"/>
      <c r="H17" s="13"/>
      <c r="I17" s="13"/>
      <c r="J17" s="13"/>
    </row>
    <row r="18" customFormat="false" ht="25.5" hidden="false" customHeight="true" outlineLevel="0" collapsed="false">
      <c r="A18" s="13" t="s">
        <v>43</v>
      </c>
      <c r="B18" s="13"/>
      <c r="C18" s="13"/>
      <c r="D18" s="13"/>
      <c r="E18" s="13"/>
      <c r="F18" s="13"/>
      <c r="G18" s="13"/>
      <c r="H18" s="13"/>
      <c r="I18" s="13"/>
      <c r="J18" s="13"/>
    </row>
    <row r="19" customFormat="false" ht="25.5" hidden="false" customHeight="true" outlineLevel="0" collapsed="false">
      <c r="A19" s="13" t="s">
        <v>44</v>
      </c>
      <c r="B19" s="13"/>
      <c r="C19" s="13"/>
      <c r="D19" s="13"/>
      <c r="E19" s="13"/>
      <c r="F19" s="13"/>
      <c r="G19" s="13"/>
      <c r="H19" s="13"/>
      <c r="I19" s="13"/>
      <c r="J19" s="13"/>
    </row>
    <row r="20" customFormat="false" ht="25.5" hidden="false" customHeight="true" outlineLevel="0" collapsed="false">
      <c r="A20" s="13" t="s">
        <v>45</v>
      </c>
      <c r="B20" s="13"/>
      <c r="C20" s="13"/>
      <c r="D20" s="13"/>
      <c r="E20" s="13"/>
      <c r="F20" s="13"/>
      <c r="G20" s="13"/>
      <c r="H20" s="13"/>
      <c r="I20" s="13"/>
      <c r="J20" s="13"/>
    </row>
    <row r="21" customFormat="false" ht="25.5" hidden="false" customHeight="true" outlineLevel="0" collapsed="false">
      <c r="A21" s="13" t="s">
        <v>46</v>
      </c>
      <c r="B21" s="13"/>
      <c r="C21" s="13"/>
      <c r="D21" s="13"/>
      <c r="E21" s="13"/>
      <c r="F21" s="13"/>
      <c r="G21" s="13"/>
      <c r="H21" s="13"/>
      <c r="I21" s="13"/>
      <c r="J21" s="13"/>
    </row>
    <row r="22" customFormat="false" ht="25.5" hidden="false" customHeight="true" outlineLevel="0" collapsed="false">
      <c r="A22" s="13" t="s">
        <v>47</v>
      </c>
      <c r="B22" s="13"/>
      <c r="C22" s="13"/>
      <c r="D22" s="13"/>
      <c r="E22" s="13"/>
      <c r="F22" s="13"/>
      <c r="G22" s="13"/>
      <c r="H22" s="13"/>
      <c r="I22" s="13"/>
      <c r="J22" s="13"/>
    </row>
  </sheetData>
  <mergeCells count="8">
    <mergeCell ref="A1:J1"/>
    <mergeCell ref="A16:J16"/>
    <mergeCell ref="A17:J17"/>
    <mergeCell ref="A18:J18"/>
    <mergeCell ref="A19:J19"/>
    <mergeCell ref="A20:J20"/>
    <mergeCell ref="A21:J21"/>
    <mergeCell ref="A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2"/>
    <col collapsed="false" customWidth="true" hidden="false" outlineLevel="0" max="6" min="6" style="0" width="13"/>
    <col collapsed="false" customWidth="true" hidden="false" outlineLevel="0" max="10" min="7" style="0" width="12"/>
    <col collapsed="false" customWidth="true" hidden="false" outlineLevel="0" max="11" min="11" style="0" width="13"/>
    <col collapsed="false" customWidth="true" hidden="false" outlineLevel="0" max="15" min="12" style="0" width="12"/>
    <col collapsed="false" customWidth="true" hidden="false" outlineLevel="0" max="16" min="16" style="0" width="13"/>
    <col collapsed="false" customWidth="true" hidden="false" outlineLevel="0" max="20" min="17" style="0" width="12"/>
    <col collapsed="false" customWidth="true" hidden="false" outlineLevel="0" max="21" min="21" style="0" width="13"/>
    <col collapsed="false" customWidth="true" hidden="false" outlineLevel="0" max="25" min="22" style="0" width="12"/>
    <col collapsed="false" customWidth="true" hidden="false" outlineLevel="0" max="26" min="26" style="0" width="13"/>
  </cols>
  <sheetData>
    <row r="1" customFormat="false" ht="16.15" hidden="false" customHeight="false" outlineLevel="0" collapsed="false">
      <c r="A1" s="14" t="s">
        <v>48</v>
      </c>
    </row>
    <row r="5" customFormat="false" ht="15" hidden="false" customHeight="false" outlineLevel="0" collapsed="false">
      <c r="B5" s="15" t="s">
        <v>49</v>
      </c>
      <c r="C5" s="15"/>
      <c r="D5" s="15"/>
      <c r="E5" s="15"/>
      <c r="F5" s="15"/>
      <c r="G5" s="15" t="s">
        <v>50</v>
      </c>
      <c r="H5" s="15"/>
      <c r="I5" s="15"/>
      <c r="J5" s="15"/>
      <c r="K5" s="15"/>
      <c r="L5" s="15" t="s">
        <v>51</v>
      </c>
      <c r="M5" s="15"/>
      <c r="N5" s="15"/>
      <c r="O5" s="15"/>
      <c r="P5" s="15"/>
      <c r="Q5" s="15" t="s">
        <v>52</v>
      </c>
      <c r="R5" s="15"/>
      <c r="S5" s="15"/>
      <c r="T5" s="15"/>
      <c r="U5" s="15"/>
      <c r="V5" s="15" t="s">
        <v>53</v>
      </c>
      <c r="W5" s="15"/>
      <c r="X5" s="15"/>
      <c r="Y5" s="15"/>
      <c r="Z5" s="15"/>
    </row>
    <row r="6" customFormat="false" ht="15" hidden="false" customHeight="false" outlineLevel="0" collapsed="false">
      <c r="B6" s="16" t="s">
        <v>54</v>
      </c>
      <c r="C6" s="16" t="s">
        <v>55</v>
      </c>
      <c r="D6" s="16" t="s">
        <v>56</v>
      </c>
      <c r="E6" s="16" t="s">
        <v>57</v>
      </c>
      <c r="F6" s="17" t="s">
        <v>58</v>
      </c>
      <c r="G6" s="16" t="s">
        <v>54</v>
      </c>
      <c r="H6" s="16" t="s">
        <v>55</v>
      </c>
      <c r="I6" s="16" t="s">
        <v>56</v>
      </c>
      <c r="J6" s="16" t="s">
        <v>57</v>
      </c>
      <c r="K6" s="17" t="s">
        <v>58</v>
      </c>
      <c r="L6" s="16" t="s">
        <v>54</v>
      </c>
      <c r="M6" s="16" t="s">
        <v>55</v>
      </c>
      <c r="N6" s="16" t="s">
        <v>56</v>
      </c>
      <c r="O6" s="18" t="s">
        <v>57</v>
      </c>
      <c r="P6" s="17" t="s">
        <v>58</v>
      </c>
      <c r="Q6" s="18" t="s">
        <v>54</v>
      </c>
      <c r="R6" s="18" t="s">
        <v>55</v>
      </c>
      <c r="S6" s="18" t="s">
        <v>56</v>
      </c>
      <c r="T6" s="18" t="s">
        <v>57</v>
      </c>
      <c r="U6" s="17" t="s">
        <v>58</v>
      </c>
      <c r="V6" s="18" t="s">
        <v>54</v>
      </c>
      <c r="W6" s="18" t="s">
        <v>55</v>
      </c>
      <c r="X6" s="18" t="s">
        <v>56</v>
      </c>
      <c r="Y6" s="18" t="s">
        <v>57</v>
      </c>
      <c r="Z6" s="17" t="s">
        <v>58</v>
      </c>
    </row>
    <row r="7" customFormat="false" ht="12" hidden="false" customHeight="true" outlineLevel="0" collapsed="false">
      <c r="B7" s="19" t="s">
        <v>59</v>
      </c>
      <c r="C7" s="19" t="s">
        <v>60</v>
      </c>
      <c r="D7" s="19" t="s">
        <v>61</v>
      </c>
      <c r="E7" s="19" t="s">
        <v>62</v>
      </c>
      <c r="G7" s="19" t="s">
        <v>63</v>
      </c>
      <c r="H7" s="19" t="s">
        <v>64</v>
      </c>
      <c r="I7" s="19" t="s">
        <v>65</v>
      </c>
      <c r="J7" s="19" t="s">
        <v>66</v>
      </c>
      <c r="L7" s="19" t="s">
        <v>67</v>
      </c>
      <c r="M7" s="19" t="s">
        <v>68</v>
      </c>
      <c r="N7" s="19" t="s">
        <v>69</v>
      </c>
      <c r="O7" s="19" t="s">
        <v>70</v>
      </c>
      <c r="Q7" s="19" t="s">
        <v>71</v>
      </c>
      <c r="R7" s="19" t="s">
        <v>72</v>
      </c>
      <c r="S7" s="19" t="s">
        <v>73</v>
      </c>
      <c r="T7" s="19" t="s">
        <v>74</v>
      </c>
      <c r="V7" s="19" t="s">
        <v>75</v>
      </c>
      <c r="W7" s="19" t="s">
        <v>76</v>
      </c>
      <c r="X7" s="19" t="s">
        <v>77</v>
      </c>
      <c r="Y7" s="19" t="s">
        <v>78</v>
      </c>
    </row>
    <row r="9" customFormat="false" ht="15" hidden="false" customHeight="false" outlineLevel="0" collapsed="false">
      <c r="A9" s="20" t="s">
        <v>79</v>
      </c>
      <c r="B9" s="21" t="n">
        <v>96458</v>
      </c>
      <c r="C9" s="21" t="n">
        <v>66886</v>
      </c>
      <c r="D9" s="21" t="n">
        <v>61564</v>
      </c>
      <c r="E9" s="21" t="n">
        <v>69958</v>
      </c>
      <c r="F9" s="22" t="n">
        <f aca="false">B9+C9+D9+E9</f>
        <v>294866</v>
      </c>
      <c r="G9" s="21" t="n">
        <v>97960</v>
      </c>
      <c r="H9" s="21" t="n">
        <v>68714</v>
      </c>
      <c r="I9" s="21" t="n">
        <v>66613</v>
      </c>
      <c r="J9" s="21" t="n">
        <v>73716</v>
      </c>
      <c r="K9" s="22" t="n">
        <f aca="false">G9+H9+I9+J9</f>
        <v>307003</v>
      </c>
      <c r="L9" s="21" t="n">
        <v>113743</v>
      </c>
      <c r="M9" s="21" t="n">
        <v>80208</v>
      </c>
      <c r="N9" s="21" t="n">
        <v>78678</v>
      </c>
      <c r="O9" s="23" t="n">
        <f aca="false">J9*(1+Assumptions!B4)</f>
        <v>80350.44</v>
      </c>
      <c r="P9" s="22" t="n">
        <f aca="false">L9+M9+N9+O9</f>
        <v>352979.44</v>
      </c>
      <c r="Q9" s="23" t="n">
        <f aca="false">L9*(1+Assumptions!B5)</f>
        <v>122842.44</v>
      </c>
      <c r="R9" s="23" t="n">
        <f aca="false">M9*(1+Assumptions!B6)</f>
        <v>86624.64</v>
      </c>
      <c r="S9" s="23" t="n">
        <f aca="false">N9*(1+Assumptions!B7)</f>
        <v>84972.24</v>
      </c>
      <c r="T9" s="23" t="n">
        <f aca="false">O9*(1+Assumptions!B8)</f>
        <v>86778.4752</v>
      </c>
      <c r="U9" s="22" t="n">
        <f aca="false">Q9+R9+S9+T9</f>
        <v>381217.7952</v>
      </c>
      <c r="V9" s="23" t="n">
        <f aca="false">Q9*(1+Assumptions!B9)</f>
        <v>130212.9864</v>
      </c>
      <c r="W9" s="23" t="n">
        <f aca="false">R9*(1+Assumptions!B10)</f>
        <v>91822.1184</v>
      </c>
      <c r="X9" s="23" t="n">
        <f aca="false">S9*(1+Assumptions!B11)</f>
        <v>90070.5744</v>
      </c>
      <c r="Y9" s="23" t="n">
        <f aca="false">T9*(1+Assumptions!B12)</f>
        <v>91985.183712</v>
      </c>
      <c r="Z9" s="22" t="n">
        <f aca="false">V9+W9+X9+Y9</f>
        <v>404090.862912</v>
      </c>
    </row>
    <row r="10" customFormat="false" ht="15" hidden="false" customHeight="false" outlineLevel="0" collapsed="false">
      <c r="A10" s="20" t="s">
        <v>80</v>
      </c>
      <c r="B10" s="21" t="n">
        <v>23117</v>
      </c>
      <c r="C10" s="21" t="n">
        <v>23867</v>
      </c>
      <c r="D10" s="21" t="n">
        <v>24213</v>
      </c>
      <c r="E10" s="21" t="n">
        <v>24972</v>
      </c>
      <c r="F10" s="22" t="n">
        <f aca="false">B10+C10+D10+E10</f>
        <v>96169</v>
      </c>
      <c r="G10" s="21" t="n">
        <v>26340</v>
      </c>
      <c r="H10" s="21" t="n">
        <v>26645</v>
      </c>
      <c r="I10" s="21" t="n">
        <v>27423</v>
      </c>
      <c r="J10" s="21" t="n">
        <v>28750</v>
      </c>
      <c r="K10" s="22" t="n">
        <f aca="false">G10+H10+I10+J10</f>
        <v>109158</v>
      </c>
      <c r="L10" s="21" t="n">
        <v>30013</v>
      </c>
      <c r="M10" s="21" t="n">
        <v>30976</v>
      </c>
      <c r="N10" s="21" t="n">
        <v>30739</v>
      </c>
      <c r="O10" s="23" t="n">
        <f aca="false">J10*(1+Assumptions!C4)</f>
        <v>32487.5</v>
      </c>
      <c r="P10" s="22" t="n">
        <f aca="false">L10+M10+N10+O10</f>
        <v>124215.5</v>
      </c>
      <c r="Q10" s="23" t="n">
        <f aca="false">L10*(1+Assumptions!C5)</f>
        <v>33914.69</v>
      </c>
      <c r="R10" s="23" t="n">
        <f aca="false">M10*(1+Assumptions!C6)</f>
        <v>35002.88</v>
      </c>
      <c r="S10" s="23" t="n">
        <f aca="false">N10*(1+Assumptions!C7)</f>
        <v>34735.07</v>
      </c>
      <c r="T10" s="23" t="n">
        <f aca="false">O10*(1+Assumptions!C8)</f>
        <v>36710.875</v>
      </c>
      <c r="U10" s="22" t="n">
        <f aca="false">Q10+R10+S10+T10</f>
        <v>140363.515</v>
      </c>
      <c r="V10" s="23" t="n">
        <f aca="false">Q10*(1+Assumptions!C9)</f>
        <v>37984.4528</v>
      </c>
      <c r="W10" s="23" t="n">
        <f aca="false">R10*(1+Assumptions!C10)</f>
        <v>39203.2256</v>
      </c>
      <c r="X10" s="23" t="n">
        <f aca="false">S10*(1+Assumptions!C11)</f>
        <v>38903.2784</v>
      </c>
      <c r="Y10" s="23" t="n">
        <f aca="false">T10*(1+Assumptions!C12)</f>
        <v>41116.18</v>
      </c>
      <c r="Z10" s="22" t="n">
        <f aca="false">V10+W10+X10+Y10</f>
        <v>157207.1368</v>
      </c>
    </row>
    <row r="11" customFormat="false" ht="15" hidden="false" customHeight="false" outlineLevel="0" collapsed="false">
      <c r="A11" s="24" t="s">
        <v>81</v>
      </c>
      <c r="B11" s="23" t="n">
        <f aca="false">B9+B10</f>
        <v>119575</v>
      </c>
      <c r="C11" s="23" t="n">
        <f aca="false">C9+C10</f>
        <v>90753</v>
      </c>
      <c r="D11" s="23" t="n">
        <f aca="false">D9+D10</f>
        <v>85777</v>
      </c>
      <c r="E11" s="23" t="n">
        <f aca="false">E9+E10</f>
        <v>94930</v>
      </c>
      <c r="F11" s="22" t="n">
        <f aca="false">F9+F10</f>
        <v>391035</v>
      </c>
      <c r="G11" s="23" t="n">
        <f aca="false">G9+G10</f>
        <v>124300</v>
      </c>
      <c r="H11" s="23" t="n">
        <f aca="false">H9+H10</f>
        <v>95359</v>
      </c>
      <c r="I11" s="23" t="n">
        <f aca="false">I9+I10</f>
        <v>94036</v>
      </c>
      <c r="J11" s="23" t="n">
        <f aca="false">J9+J10</f>
        <v>102466</v>
      </c>
      <c r="K11" s="22" t="n">
        <f aca="false">K9+K10</f>
        <v>416161</v>
      </c>
      <c r="L11" s="23" t="n">
        <f aca="false">L9+L10</f>
        <v>143756</v>
      </c>
      <c r="M11" s="23" t="n">
        <f aca="false">M9+M10</f>
        <v>111184</v>
      </c>
      <c r="N11" s="23" t="n">
        <f aca="false">N9+N10</f>
        <v>109417</v>
      </c>
      <c r="O11" s="23" t="n">
        <f aca="false">O9+O10</f>
        <v>112837.94</v>
      </c>
      <c r="P11" s="22" t="n">
        <f aca="false">P9+P10</f>
        <v>477194.94</v>
      </c>
      <c r="Q11" s="23" t="n">
        <f aca="false">Q9+Q10</f>
        <v>156757.13</v>
      </c>
      <c r="R11" s="23" t="n">
        <f aca="false">R9+R10</f>
        <v>121627.52</v>
      </c>
      <c r="S11" s="23" t="n">
        <f aca="false">S9+S10</f>
        <v>119707.31</v>
      </c>
      <c r="T11" s="23" t="n">
        <f aca="false">T9+T10</f>
        <v>123489.3502</v>
      </c>
      <c r="U11" s="22" t="n">
        <f aca="false">U9+U10</f>
        <v>521581.3102</v>
      </c>
      <c r="V11" s="23" t="n">
        <f aca="false">V9+V10</f>
        <v>168197.4392</v>
      </c>
      <c r="W11" s="23" t="n">
        <f aca="false">W9+W10</f>
        <v>131025.344</v>
      </c>
      <c r="X11" s="23" t="n">
        <f aca="false">X9+X10</f>
        <v>128973.8528</v>
      </c>
      <c r="Y11" s="23" t="n">
        <f aca="false">Y9+Y10</f>
        <v>133101.363712</v>
      </c>
      <c r="Z11" s="22" t="n">
        <f aca="false">Z9+Z10</f>
        <v>561297.999712</v>
      </c>
    </row>
    <row r="12" customFormat="false" ht="15" hidden="false" customHeight="false" outlineLevel="0" collapsed="false">
      <c r="A12" s="25" t="s">
        <v>82</v>
      </c>
      <c r="B12" s="26"/>
      <c r="C12" s="26"/>
      <c r="D12" s="26"/>
      <c r="E12" s="26"/>
      <c r="F12" s="27"/>
      <c r="G12" s="28" t="n">
        <f aca="false">G11/B11-1</f>
        <v>0.0395149487769182</v>
      </c>
      <c r="H12" s="28" t="n">
        <f aca="false">H11/C11-1</f>
        <v>0.0507531431467829</v>
      </c>
      <c r="I12" s="28" t="n">
        <f aca="false">I11/D11-1</f>
        <v>0.0962845518029309</v>
      </c>
      <c r="J12" s="28" t="n">
        <f aca="false">J11/E11-1</f>
        <v>0.0793848098598968</v>
      </c>
      <c r="K12" s="29" t="n">
        <f aca="false">K11/F11-1</f>
        <v>0.0642551178283275</v>
      </c>
      <c r="L12" s="28" t="n">
        <f aca="false">L11/G11-1</f>
        <v>0.156524537409493</v>
      </c>
      <c r="M12" s="28" t="n">
        <f aca="false">M11/H11-1</f>
        <v>0.16595182415923</v>
      </c>
      <c r="N12" s="28" t="n">
        <f aca="false">N11/I11-1</f>
        <v>0.163565017652814</v>
      </c>
      <c r="O12" s="28" t="n">
        <f aca="false">O11/J11-1</f>
        <v>0.101223235024301</v>
      </c>
      <c r="P12" s="29" t="n">
        <f aca="false">P11/K11-1</f>
        <v>0.146659441898688</v>
      </c>
      <c r="Q12" s="28" t="n">
        <f aca="false">Q11/L11-1</f>
        <v>0.0904388686385265</v>
      </c>
      <c r="R12" s="28" t="n">
        <f aca="false">R11/M11-1</f>
        <v>0.093930061879407</v>
      </c>
      <c r="S12" s="28" t="n">
        <f aca="false">S11/N11-1</f>
        <v>0.0940467203451016</v>
      </c>
      <c r="T12" s="28" t="n">
        <f aca="false">T11/O11-1</f>
        <v>0.0943956456489725</v>
      </c>
      <c r="U12" s="29" t="n">
        <f aca="false">U11/P11-1</f>
        <v>0.0930151736311371</v>
      </c>
      <c r="V12" s="28" t="n">
        <f aca="false">V11/Q11-1</f>
        <v>0.0729811090570491</v>
      </c>
      <c r="W12" s="28" t="n">
        <f aca="false">W11/R11-1</f>
        <v>0.0772672500434115</v>
      </c>
      <c r="X12" s="28" t="n">
        <f aca="false">X11/S11-1</f>
        <v>0.0774099994394664</v>
      </c>
      <c r="Y12" s="28" t="n">
        <f aca="false">Y11/T11-1</f>
        <v>0.0778367810376575</v>
      </c>
      <c r="Z12" s="29" t="n">
        <f aca="false">Z11/U11-1</f>
        <v>0.076146688417134</v>
      </c>
    </row>
    <row r="14" customFormat="false" ht="15" hidden="false" customHeight="false" outlineLevel="0" collapsed="false">
      <c r="A14" s="20" t="s">
        <v>83</v>
      </c>
      <c r="B14" s="21" t="n">
        <v>58440</v>
      </c>
      <c r="C14" s="21" t="n">
        <v>42424</v>
      </c>
      <c r="D14" s="21" t="n">
        <v>39803</v>
      </c>
      <c r="E14" s="21" t="n">
        <v>44566</v>
      </c>
      <c r="F14" s="22" t="n">
        <f aca="false">B14+C14+D14+E14</f>
        <v>185233</v>
      </c>
      <c r="G14" s="21" t="n">
        <v>59447</v>
      </c>
      <c r="H14" s="21" t="n">
        <v>44030</v>
      </c>
      <c r="I14" s="21" t="n">
        <v>43620</v>
      </c>
      <c r="J14" s="21" t="n">
        <v>47019</v>
      </c>
      <c r="K14" s="22" t="n">
        <f aca="false">G14+H14+I14+J14</f>
        <v>194116</v>
      </c>
      <c r="L14" s="21" t="n">
        <v>67478</v>
      </c>
      <c r="M14" s="21" t="n">
        <v>49179</v>
      </c>
      <c r="N14" s="21" t="n">
        <v>47153</v>
      </c>
      <c r="O14" s="23" t="n">
        <f aca="false">O9*(1-Assumptions!D4)</f>
        <v>51584.98248</v>
      </c>
      <c r="P14" s="22" t="n">
        <f aca="false">L14+M14+N14+O14</f>
        <v>215394.98248</v>
      </c>
      <c r="Q14" s="23" t="n">
        <f aca="false">Q9*(1-Assumptions!D5)</f>
        <v>78004.9494</v>
      </c>
      <c r="R14" s="23" t="n">
        <f aca="false">R9*(1-Assumptions!D6)</f>
        <v>54573.5232</v>
      </c>
      <c r="S14" s="23" t="n">
        <f aca="false">S9*(1-Assumptions!D7)</f>
        <v>53107.65</v>
      </c>
      <c r="T14" s="23" t="n">
        <f aca="false">T9*(1-Assumptions!D8)</f>
        <v>53802.654624</v>
      </c>
      <c r="U14" s="22" t="n">
        <f aca="false">Q14+R14+S14+T14</f>
        <v>239488.777224</v>
      </c>
      <c r="V14" s="23" t="n">
        <f aca="false">V9*(1-Assumptions!D9)</f>
        <v>80080.986636</v>
      </c>
      <c r="W14" s="23" t="n">
        <f aca="false">W9*(1-Assumptions!D10)</f>
        <v>56011.492224</v>
      </c>
      <c r="X14" s="23" t="n">
        <f aca="false">X9*(1-Assumptions!D11)</f>
        <v>54492.697512</v>
      </c>
      <c r="Y14" s="23" t="n">
        <f aca="false">Y9*(1-Assumptions!D12)</f>
        <v>55191.1102272</v>
      </c>
      <c r="Z14" s="22" t="n">
        <f aca="false">V14+W14+X14+Y14</f>
        <v>245776.2865992</v>
      </c>
    </row>
    <row r="15" customFormat="false" ht="15" hidden="false" customHeight="false" outlineLevel="0" collapsed="false">
      <c r="A15" s="20" t="s">
        <v>84</v>
      </c>
      <c r="B15" s="21" t="n">
        <v>6280</v>
      </c>
      <c r="C15" s="21" t="n">
        <v>6058</v>
      </c>
      <c r="D15" s="21" t="n">
        <v>6296</v>
      </c>
      <c r="E15" s="21" t="n">
        <v>6485</v>
      </c>
      <c r="F15" s="22" t="n">
        <f aca="false">B15+C15+D15+E15</f>
        <v>25119</v>
      </c>
      <c r="G15" s="21" t="n">
        <v>6578</v>
      </c>
      <c r="H15" s="21" t="n">
        <v>6462</v>
      </c>
      <c r="I15" s="21" t="n">
        <v>6698</v>
      </c>
      <c r="J15" s="21" t="n">
        <v>7106</v>
      </c>
      <c r="K15" s="22" t="n">
        <f aca="false">G15+H15+I15+J15</f>
        <v>26844</v>
      </c>
      <c r="L15" s="21" t="n">
        <v>7047</v>
      </c>
      <c r="M15" s="21" t="n">
        <v>7224</v>
      </c>
      <c r="N15" s="21" t="n">
        <v>7494</v>
      </c>
      <c r="O15" s="23" t="n">
        <f aca="false">O10*(1-Assumptions!E4)</f>
        <v>7634.5625</v>
      </c>
      <c r="P15" s="22" t="n">
        <f aca="false">L15+M15+N15+O15</f>
        <v>29399.5625</v>
      </c>
      <c r="Q15" s="23" t="n">
        <f aca="false">Q10*(1-Assumptions!E5)</f>
        <v>7969.95215</v>
      </c>
      <c r="R15" s="23" t="n">
        <f aca="false">R10*(1-Assumptions!E6)</f>
        <v>8155.67104</v>
      </c>
      <c r="S15" s="23" t="n">
        <f aca="false">S10*(1-Assumptions!E7)</f>
        <v>8058.53624</v>
      </c>
      <c r="T15" s="23" t="n">
        <f aca="false">T10*(1-Assumptions!E8)</f>
        <v>8443.50125</v>
      </c>
      <c r="U15" s="22" t="n">
        <f aca="false">Q15+R15+S15+T15</f>
        <v>32627.66068</v>
      </c>
      <c r="V15" s="23" t="n">
        <f aca="false">V10*(1-Assumptions!E9)</f>
        <v>8736.424144</v>
      </c>
      <c r="W15" s="23" t="n">
        <f aca="false">W10*(1-Assumptions!E10)</f>
        <v>8938.3354368</v>
      </c>
      <c r="X15" s="23" t="n">
        <f aca="false">X10*(1-Assumptions!E11)</f>
        <v>8831.0441968</v>
      </c>
      <c r="Y15" s="23" t="n">
        <f aca="false">Y10*(1-Assumptions!E12)</f>
        <v>9251.1405</v>
      </c>
      <c r="Z15" s="22" t="n">
        <f aca="false">V15+W15+X15+Y15</f>
        <v>35756.9442776</v>
      </c>
    </row>
    <row r="16" customFormat="false" ht="15" hidden="false" customHeight="false" outlineLevel="0" collapsed="false">
      <c r="A16" s="20" t="s">
        <v>85</v>
      </c>
      <c r="B16" s="23" t="n">
        <f aca="false">B14+B15</f>
        <v>64720</v>
      </c>
      <c r="C16" s="23" t="n">
        <f aca="false">C14+C15</f>
        <v>48482</v>
      </c>
      <c r="D16" s="23" t="n">
        <f aca="false">D14+D15</f>
        <v>46099</v>
      </c>
      <c r="E16" s="23" t="n">
        <f aca="false">E14+E15</f>
        <v>51051</v>
      </c>
      <c r="F16" s="22" t="n">
        <f aca="false">F14+F15</f>
        <v>210352</v>
      </c>
      <c r="G16" s="23" t="n">
        <f aca="false">G14+G15</f>
        <v>66025</v>
      </c>
      <c r="H16" s="23" t="n">
        <f aca="false">H14+H15</f>
        <v>50492</v>
      </c>
      <c r="I16" s="23" t="n">
        <f aca="false">I14+I15</f>
        <v>50318</v>
      </c>
      <c r="J16" s="23" t="n">
        <f aca="false">J14+J15</f>
        <v>54125</v>
      </c>
      <c r="K16" s="22" t="n">
        <f aca="false">K14+K15</f>
        <v>220960</v>
      </c>
      <c r="L16" s="23" t="n">
        <f aca="false">L14+L15</f>
        <v>74525</v>
      </c>
      <c r="M16" s="23" t="n">
        <f aca="false">M14+M15</f>
        <v>56403</v>
      </c>
      <c r="N16" s="23" t="n">
        <f aca="false">N14+N15</f>
        <v>54647</v>
      </c>
      <c r="O16" s="23" t="n">
        <f aca="false">O14+O15</f>
        <v>59219.54498</v>
      </c>
      <c r="P16" s="22" t="n">
        <f aca="false">P14+P15</f>
        <v>244794.54498</v>
      </c>
      <c r="Q16" s="23" t="n">
        <f aca="false">Q14+Q15</f>
        <v>85974.90155</v>
      </c>
      <c r="R16" s="23" t="n">
        <f aca="false">R14+R15</f>
        <v>62729.19424</v>
      </c>
      <c r="S16" s="23" t="n">
        <f aca="false">S14+S15</f>
        <v>61166.18624</v>
      </c>
      <c r="T16" s="23" t="n">
        <f aca="false">T14+T15</f>
        <v>62246.155874</v>
      </c>
      <c r="U16" s="22" t="n">
        <f aca="false">U14+U15</f>
        <v>272116.437904</v>
      </c>
      <c r="V16" s="23" t="n">
        <f aca="false">V14+V15</f>
        <v>88817.41078</v>
      </c>
      <c r="W16" s="23" t="n">
        <f aca="false">W14+W15</f>
        <v>64949.8276608</v>
      </c>
      <c r="X16" s="23" t="n">
        <f aca="false">X14+X15</f>
        <v>63323.7417088</v>
      </c>
      <c r="Y16" s="23" t="n">
        <f aca="false">Y14+Y15</f>
        <v>64442.2507272</v>
      </c>
      <c r="Z16" s="22" t="n">
        <f aca="false">Z14+Z15</f>
        <v>281533.2308768</v>
      </c>
    </row>
    <row r="17" customFormat="false" ht="15" hidden="false" customHeight="false" outlineLevel="0" collapsed="false">
      <c r="A17" s="24" t="s">
        <v>86</v>
      </c>
      <c r="B17" s="23" t="n">
        <f aca="false">B11-B16</f>
        <v>54855</v>
      </c>
      <c r="C17" s="23" t="n">
        <f aca="false">C11-C16</f>
        <v>42271</v>
      </c>
      <c r="D17" s="23" t="n">
        <f aca="false">D11-D16</f>
        <v>39678</v>
      </c>
      <c r="E17" s="23" t="n">
        <f aca="false">E11-E16</f>
        <v>43879</v>
      </c>
      <c r="F17" s="22" t="n">
        <f aca="false">F11-F16</f>
        <v>180683</v>
      </c>
      <c r="G17" s="23" t="n">
        <f aca="false">G11-G16</f>
        <v>58275</v>
      </c>
      <c r="H17" s="23" t="n">
        <f aca="false">H11-H16</f>
        <v>44867</v>
      </c>
      <c r="I17" s="23" t="n">
        <f aca="false">I11-I16</f>
        <v>43718</v>
      </c>
      <c r="J17" s="23" t="n">
        <f aca="false">J11-J16</f>
        <v>48341</v>
      </c>
      <c r="K17" s="22" t="n">
        <f aca="false">K11-K16</f>
        <v>195201</v>
      </c>
      <c r="L17" s="23" t="n">
        <f aca="false">L11-L16</f>
        <v>69231</v>
      </c>
      <c r="M17" s="23" t="n">
        <f aca="false">M11-M16</f>
        <v>54781</v>
      </c>
      <c r="N17" s="23" t="n">
        <f aca="false">N11-N16</f>
        <v>54770</v>
      </c>
      <c r="O17" s="23" t="n">
        <f aca="false">O11-O16</f>
        <v>53618.39502</v>
      </c>
      <c r="P17" s="22" t="n">
        <f aca="false">P11-P16</f>
        <v>232400.39502</v>
      </c>
      <c r="Q17" s="23" t="n">
        <f aca="false">Q11-Q16</f>
        <v>70782.22845</v>
      </c>
      <c r="R17" s="23" t="n">
        <f aca="false">R11-R16</f>
        <v>58898.32576</v>
      </c>
      <c r="S17" s="23" t="n">
        <f aca="false">S11-S16</f>
        <v>58541.12376</v>
      </c>
      <c r="T17" s="23" t="n">
        <f aca="false">T11-T16</f>
        <v>61243.194326</v>
      </c>
      <c r="U17" s="22" t="n">
        <f aca="false">U11-U16</f>
        <v>249464.872296</v>
      </c>
      <c r="V17" s="23" t="n">
        <f aca="false">V11-V16</f>
        <v>79380.02842</v>
      </c>
      <c r="W17" s="23" t="n">
        <f aca="false">W11-W16</f>
        <v>66075.5163392</v>
      </c>
      <c r="X17" s="23" t="n">
        <f aca="false">X11-X16</f>
        <v>65650.1110912</v>
      </c>
      <c r="Y17" s="23" t="n">
        <f aca="false">Y11-Y16</f>
        <v>68659.1129848</v>
      </c>
      <c r="Z17" s="22" t="n">
        <f aca="false">Z11-Z16</f>
        <v>279764.7688352</v>
      </c>
    </row>
    <row r="18" customFormat="false" ht="15" hidden="false" customHeight="false" outlineLevel="0" collapsed="false">
      <c r="A18" s="25" t="s">
        <v>87</v>
      </c>
      <c r="B18" s="28" t="n">
        <f aca="false">B17/B11</f>
        <v>0.458749738657746</v>
      </c>
      <c r="C18" s="28" t="n">
        <f aca="false">C17/C11</f>
        <v>0.465780745540092</v>
      </c>
      <c r="D18" s="28" t="n">
        <f aca="false">D17/D11</f>
        <v>0.462571551814589</v>
      </c>
      <c r="E18" s="28" t="n">
        <f aca="false">E17/E11</f>
        <v>0.462224797219004</v>
      </c>
      <c r="F18" s="29" t="n">
        <f aca="false">F17/F11</f>
        <v>0.462063498152339</v>
      </c>
      <c r="G18" s="28" t="n">
        <f aca="false">G17/G11</f>
        <v>0.468825422365245</v>
      </c>
      <c r="H18" s="28" t="n">
        <f aca="false">H17/H11</f>
        <v>0.470506192388762</v>
      </c>
      <c r="I18" s="28" t="n">
        <f aca="false">I17/I11</f>
        <v>0.464907056871836</v>
      </c>
      <c r="J18" s="28" t="n">
        <f aca="false">J17/J11</f>
        <v>0.471776003747585</v>
      </c>
      <c r="K18" s="29" t="n">
        <f aca="false">K17/K11</f>
        <v>0.469051641071605</v>
      </c>
      <c r="L18" s="28" t="n">
        <f aca="false">L17/L11</f>
        <v>0.481586855505162</v>
      </c>
      <c r="M18" s="28" t="n">
        <f aca="false">M17/M11</f>
        <v>0.492705785005037</v>
      </c>
      <c r="N18" s="28" t="n">
        <f aca="false">N17/N11</f>
        <v>0.500562069879452</v>
      </c>
      <c r="O18" s="28" t="n">
        <f aca="false">O17/O11</f>
        <v>0.475180555582635</v>
      </c>
      <c r="P18" s="29" t="n">
        <f aca="false">P17/P11</f>
        <v>0.487013535851826</v>
      </c>
      <c r="Q18" s="28" t="n">
        <f aca="false">Q17/Q11</f>
        <v>0.451540727046993</v>
      </c>
      <c r="R18" s="28" t="n">
        <f aca="false">R17/R11</f>
        <v>0.484251637787238</v>
      </c>
      <c r="S18" s="28" t="n">
        <f aca="false">S17/S11</f>
        <v>0.489035496328503</v>
      </c>
      <c r="T18" s="28" t="n">
        <f aca="false">T17/T11</f>
        <v>0.495939076744773</v>
      </c>
      <c r="U18" s="29" t="n">
        <f aca="false">U17/U11</f>
        <v>0.478285681287819</v>
      </c>
      <c r="V18" s="28" t="n">
        <f aca="false">V17/V11</f>
        <v>0.471945523056453</v>
      </c>
      <c r="W18" s="28" t="n">
        <f aca="false">W17/W11</f>
        <v>0.504295690604712</v>
      </c>
      <c r="X18" s="28" t="n">
        <f aca="false">X17/X11</f>
        <v>0.509018763617179</v>
      </c>
      <c r="Y18" s="28" t="n">
        <f aca="false">Y17/Y11</f>
        <v>0.515840792836369</v>
      </c>
      <c r="Z18" s="29" t="n">
        <f aca="false">Z17/Z11</f>
        <v>0.498424667429327</v>
      </c>
    </row>
    <row r="20" customFormat="false" ht="15" hidden="false" customHeight="false" outlineLevel="0" collapsed="false">
      <c r="A20" s="20" t="s">
        <v>88</v>
      </c>
      <c r="B20" s="21" t="n">
        <v>7696</v>
      </c>
      <c r="C20" s="21" t="n">
        <v>7903</v>
      </c>
      <c r="D20" s="21" t="n">
        <v>8006</v>
      </c>
      <c r="E20" s="21" t="n">
        <v>7765</v>
      </c>
      <c r="F20" s="22" t="n">
        <f aca="false">B20+C20+D20+E20</f>
        <v>31370</v>
      </c>
      <c r="G20" s="21" t="n">
        <v>8268</v>
      </c>
      <c r="H20" s="21" t="n">
        <v>8550</v>
      </c>
      <c r="I20" s="21" t="n">
        <v>8866</v>
      </c>
      <c r="J20" s="21" t="n">
        <v>8866</v>
      </c>
      <c r="K20" s="22" t="n">
        <f aca="false">G20+H20+I20+J20</f>
        <v>34550</v>
      </c>
      <c r="L20" s="21" t="n">
        <v>10887</v>
      </c>
      <c r="M20" s="21" t="n">
        <v>11419</v>
      </c>
      <c r="N20" s="21" t="n">
        <v>11729</v>
      </c>
      <c r="O20" s="23" t="n">
        <f aca="false">O11*Assumptions!F4</f>
        <v>10042.57666</v>
      </c>
      <c r="P20" s="22" t="n">
        <f aca="false">L20+M20+N20+O20</f>
        <v>44077.57666</v>
      </c>
      <c r="Q20" s="23" t="n">
        <f aca="false">Q11*Assumptions!F5</f>
        <v>12070.29901</v>
      </c>
      <c r="R20" s="23" t="n">
        <f aca="false">R11*Assumptions!F6</f>
        <v>12527.63456</v>
      </c>
      <c r="S20" s="23" t="n">
        <f aca="false">S11*Assumptions!F7</f>
        <v>12808.68217</v>
      </c>
      <c r="T20" s="23" t="n">
        <f aca="false">T11*Assumptions!F8</f>
        <v>10990.5521678</v>
      </c>
      <c r="U20" s="22" t="n">
        <f aca="false">Q20+R20+S20+T20</f>
        <v>48397.1679078</v>
      </c>
      <c r="V20" s="23" t="n">
        <f aca="false">V11*Assumptions!F9</f>
        <v>12951.2028184</v>
      </c>
      <c r="W20" s="23" t="n">
        <f aca="false">W11*Assumptions!F10</f>
        <v>13495.610432</v>
      </c>
      <c r="X20" s="23" t="n">
        <f aca="false">X11*Assumptions!F11</f>
        <v>13800.2022496</v>
      </c>
      <c r="Y20" s="23" t="n">
        <f aca="false">Y11*Assumptions!F12</f>
        <v>11846.021370368</v>
      </c>
      <c r="Z20" s="22" t="n">
        <f aca="false">V20+W20+X20+Y20</f>
        <v>52093.036870368</v>
      </c>
    </row>
    <row r="21" customFormat="false" ht="15" hidden="false" customHeight="false" outlineLevel="0" collapsed="false">
      <c r="A21" s="20" t="s">
        <v>89</v>
      </c>
      <c r="B21" s="21" t="n">
        <v>6786</v>
      </c>
      <c r="C21" s="21" t="n">
        <v>6468</v>
      </c>
      <c r="D21" s="21" t="n">
        <v>6320</v>
      </c>
      <c r="E21" s="21" t="n">
        <v>6523</v>
      </c>
      <c r="F21" s="22" t="n">
        <f aca="false">B21+C21+D21+E21</f>
        <v>26097</v>
      </c>
      <c r="G21" s="21" t="n">
        <v>7175</v>
      </c>
      <c r="H21" s="21" t="n">
        <v>6728</v>
      </c>
      <c r="I21" s="21" t="n">
        <v>6650</v>
      </c>
      <c r="J21" s="21" t="n">
        <v>7048</v>
      </c>
      <c r="K21" s="22" t="n">
        <f aca="false">G21+H21+I21+J21</f>
        <v>27601</v>
      </c>
      <c r="L21" s="21" t="n">
        <v>7492</v>
      </c>
      <c r="M21" s="21" t="n">
        <v>7477</v>
      </c>
      <c r="N21" s="21" t="n">
        <v>7346</v>
      </c>
      <c r="O21" s="23" t="n">
        <f aca="false">O11*Assumptions!G4</f>
        <v>7447.30404</v>
      </c>
      <c r="P21" s="22" t="n">
        <f aca="false">L21+M21+N21+O21</f>
        <v>29762.30404</v>
      </c>
      <c r="Q21" s="23" t="n">
        <f aca="false">Q11*Assumptions!G5</f>
        <v>8151.37076</v>
      </c>
      <c r="R21" s="23" t="n">
        <f aca="false">R11*Assumptions!G6</f>
        <v>8027.41632</v>
      </c>
      <c r="S21" s="23" t="n">
        <f aca="false">S11*Assumptions!G7</f>
        <v>7900.68246</v>
      </c>
      <c r="T21" s="23" t="n">
        <f aca="false">T11*Assumptions!G8</f>
        <v>8150.2971132</v>
      </c>
      <c r="U21" s="22" t="n">
        <f aca="false">Q21+R21+S21+T21</f>
        <v>32229.7666532</v>
      </c>
      <c r="V21" s="23" t="n">
        <f aca="false">V11*Assumptions!G9</f>
        <v>8746.2668384</v>
      </c>
      <c r="W21" s="23" t="n">
        <f aca="false">W11*Assumptions!G10</f>
        <v>8647.672704</v>
      </c>
      <c r="X21" s="23" t="n">
        <f aca="false">X11*Assumptions!G11</f>
        <v>8512.2742848</v>
      </c>
      <c r="Y21" s="23" t="n">
        <f aca="false">Y11*Assumptions!G12</f>
        <v>8784.690004992</v>
      </c>
      <c r="Z21" s="22" t="n">
        <f aca="false">V21+W21+X21+Y21</f>
        <v>34690.903832192</v>
      </c>
    </row>
    <row r="22" customFormat="false" ht="15" hidden="false" customHeight="false" outlineLevel="0" collapsed="false">
      <c r="A22" s="20" t="s">
        <v>90</v>
      </c>
      <c r="B22" s="23" t="n">
        <f aca="false">B20+B21</f>
        <v>14482</v>
      </c>
      <c r="C22" s="23" t="n">
        <f aca="false">C20+C21</f>
        <v>14371</v>
      </c>
      <c r="D22" s="23" t="n">
        <f aca="false">D20+D21</f>
        <v>14326</v>
      </c>
      <c r="E22" s="23" t="n">
        <f aca="false">E20+E21</f>
        <v>14288</v>
      </c>
      <c r="F22" s="22" t="n">
        <f aca="false">F20+F21</f>
        <v>57467</v>
      </c>
      <c r="G22" s="23" t="n">
        <f aca="false">G20+G21</f>
        <v>15443</v>
      </c>
      <c r="H22" s="23" t="n">
        <f aca="false">H20+H21</f>
        <v>15278</v>
      </c>
      <c r="I22" s="23" t="n">
        <f aca="false">I20+I21</f>
        <v>15516</v>
      </c>
      <c r="J22" s="23" t="n">
        <f aca="false">J20+J21</f>
        <v>15914</v>
      </c>
      <c r="K22" s="22" t="n">
        <f aca="false">K20+K21</f>
        <v>62151</v>
      </c>
      <c r="L22" s="23" t="n">
        <f aca="false">L20+L21</f>
        <v>18379</v>
      </c>
      <c r="M22" s="23" t="n">
        <f aca="false">M20+M21</f>
        <v>18896</v>
      </c>
      <c r="N22" s="23" t="n">
        <f aca="false">N20+N21</f>
        <v>19075</v>
      </c>
      <c r="O22" s="23" t="n">
        <f aca="false">O20+O21</f>
        <v>17489.8807</v>
      </c>
      <c r="P22" s="22" t="n">
        <f aca="false">P20+P21</f>
        <v>73839.8807</v>
      </c>
      <c r="Q22" s="23" t="n">
        <f aca="false">Q20+Q21</f>
        <v>20221.66977</v>
      </c>
      <c r="R22" s="23" t="n">
        <f aca="false">R20+R21</f>
        <v>20555.05088</v>
      </c>
      <c r="S22" s="23" t="n">
        <f aca="false">S20+S21</f>
        <v>20709.36463</v>
      </c>
      <c r="T22" s="23" t="n">
        <f aca="false">T20+T21</f>
        <v>19140.849281</v>
      </c>
      <c r="U22" s="22" t="n">
        <f aca="false">U20+U21</f>
        <v>80626.934561</v>
      </c>
      <c r="V22" s="23" t="n">
        <f aca="false">V20+V21</f>
        <v>21697.4696568</v>
      </c>
      <c r="W22" s="23" t="n">
        <f aca="false">W20+W21</f>
        <v>22143.283136</v>
      </c>
      <c r="X22" s="23" t="n">
        <f aca="false">X20+X21</f>
        <v>22312.4765344</v>
      </c>
      <c r="Y22" s="23" t="n">
        <f aca="false">Y20+Y21</f>
        <v>20630.71137536</v>
      </c>
      <c r="Z22" s="22" t="n">
        <f aca="false">Z20+Z21</f>
        <v>86783.94070256</v>
      </c>
    </row>
    <row r="23" customFormat="false" ht="15" hidden="false" customHeight="false" outlineLevel="0" collapsed="false">
      <c r="A23" s="24" t="s">
        <v>91</v>
      </c>
      <c r="B23" s="23" t="n">
        <f aca="false">B17-B22</f>
        <v>40373</v>
      </c>
      <c r="C23" s="23" t="n">
        <f aca="false">C17-C22</f>
        <v>27900</v>
      </c>
      <c r="D23" s="23" t="n">
        <f aca="false">D17-D22</f>
        <v>25352</v>
      </c>
      <c r="E23" s="23" t="n">
        <f aca="false">E17-E22</f>
        <v>29591</v>
      </c>
      <c r="F23" s="22" t="n">
        <f aca="false">F17-F22</f>
        <v>123216</v>
      </c>
      <c r="G23" s="23" t="n">
        <f aca="false">G17-G22</f>
        <v>42832</v>
      </c>
      <c r="H23" s="23" t="n">
        <f aca="false">H17-H22</f>
        <v>29589</v>
      </c>
      <c r="I23" s="23" t="n">
        <f aca="false">I17-I22</f>
        <v>28202</v>
      </c>
      <c r="J23" s="23" t="n">
        <f aca="false">J17-J22</f>
        <v>32427</v>
      </c>
      <c r="K23" s="22" t="n">
        <f aca="false">K17-K22</f>
        <v>133050</v>
      </c>
      <c r="L23" s="23" t="n">
        <f aca="false">L17-L22</f>
        <v>50852</v>
      </c>
      <c r="M23" s="23" t="n">
        <f aca="false">M17-M22</f>
        <v>35885</v>
      </c>
      <c r="N23" s="23" t="n">
        <f aca="false">N17-N22</f>
        <v>35695</v>
      </c>
      <c r="O23" s="23" t="n">
        <f aca="false">O17-O22</f>
        <v>36128.51432</v>
      </c>
      <c r="P23" s="22" t="n">
        <f aca="false">P17-P22</f>
        <v>158560.51432</v>
      </c>
      <c r="Q23" s="23" t="n">
        <f aca="false">Q17-Q22</f>
        <v>50560.55868</v>
      </c>
      <c r="R23" s="23" t="n">
        <f aca="false">R17-R22</f>
        <v>38343.27488</v>
      </c>
      <c r="S23" s="23" t="n">
        <f aca="false">S17-S22</f>
        <v>37831.75913</v>
      </c>
      <c r="T23" s="23" t="n">
        <f aca="false">T17-T22</f>
        <v>42102.345045</v>
      </c>
      <c r="U23" s="22" t="n">
        <f aca="false">U17-U22</f>
        <v>168837.937735</v>
      </c>
      <c r="V23" s="23" t="n">
        <f aca="false">V17-V22</f>
        <v>57682.5587632</v>
      </c>
      <c r="W23" s="23" t="n">
        <f aca="false">W17-W22</f>
        <v>43932.2332032</v>
      </c>
      <c r="X23" s="23" t="n">
        <f aca="false">X17-X22</f>
        <v>43337.6345568</v>
      </c>
      <c r="Y23" s="23" t="n">
        <f aca="false">Y17-Y22</f>
        <v>48028.40160944</v>
      </c>
      <c r="Z23" s="22" t="n">
        <f aca="false">Z17-Z22</f>
        <v>192980.82813264</v>
      </c>
    </row>
    <row r="24" customFormat="false" ht="15" hidden="false" customHeight="false" outlineLevel="0" collapsed="false">
      <c r="A24" s="25" t="s">
        <v>92</v>
      </c>
      <c r="B24" s="28" t="n">
        <f aca="false">B23/B11</f>
        <v>0.337637466025507</v>
      </c>
      <c r="C24" s="28" t="n">
        <f aca="false">C23/C11</f>
        <v>0.307427853624674</v>
      </c>
      <c r="D24" s="28" t="n">
        <f aca="false">D23/D11</f>
        <v>0.295557084066824</v>
      </c>
      <c r="E24" s="28" t="n">
        <f aca="false">E23/E11</f>
        <v>0.311713894448541</v>
      </c>
      <c r="F24" s="29" t="n">
        <f aca="false">F23/F11</f>
        <v>0.315102228700756</v>
      </c>
      <c r="G24" s="28" t="n">
        <f aca="false">G23/G11</f>
        <v>0.344585679806919</v>
      </c>
      <c r="H24" s="28" t="n">
        <f aca="false">H23/H11</f>
        <v>0.310290586100945</v>
      </c>
      <c r="I24" s="28" t="n">
        <f aca="false">I23/I11</f>
        <v>0.299906418818325</v>
      </c>
      <c r="J24" s="28" t="n">
        <f aca="false">J23/J11</f>
        <v>0.31646594968087</v>
      </c>
      <c r="K24" s="29" t="n">
        <f aca="false">K23/K11</f>
        <v>0.319707997625919</v>
      </c>
      <c r="L24" s="28" t="n">
        <f aca="false">L23/L11</f>
        <v>0.353738278750104</v>
      </c>
      <c r="M24" s="28" t="n">
        <f aca="false">M23/M11</f>
        <v>0.322753273852353</v>
      </c>
      <c r="N24" s="28" t="n">
        <f aca="false">N23/N11</f>
        <v>0.326229013772997</v>
      </c>
      <c r="O24" s="28" t="n">
        <f aca="false">O23/O11</f>
        <v>0.320180555582635</v>
      </c>
      <c r="P24" s="29" t="n">
        <f aca="false">P23/P11</f>
        <v>0.332276185325854</v>
      </c>
      <c r="Q24" s="28" t="n">
        <f aca="false">Q23/Q11</f>
        <v>0.322540727046993</v>
      </c>
      <c r="R24" s="28" t="n">
        <f aca="false">R23/R11</f>
        <v>0.315251637787238</v>
      </c>
      <c r="S24" s="28" t="n">
        <f aca="false">S23/S11</f>
        <v>0.316035496328503</v>
      </c>
      <c r="T24" s="28" t="n">
        <f aca="false">T23/T11</f>
        <v>0.340939076744773</v>
      </c>
      <c r="U24" s="29" t="n">
        <f aca="false">U23/U11</f>
        <v>0.323703964143691</v>
      </c>
      <c r="V24" s="28" t="n">
        <f aca="false">V23/V11</f>
        <v>0.342945523056453</v>
      </c>
      <c r="W24" s="28" t="n">
        <f aca="false">W23/W11</f>
        <v>0.335295690604712</v>
      </c>
      <c r="X24" s="28" t="n">
        <f aca="false">X23/X11</f>
        <v>0.336018763617179</v>
      </c>
      <c r="Y24" s="28" t="n">
        <f aca="false">Y23/Y11</f>
        <v>0.360840792836369</v>
      </c>
      <c r="Z24" s="29" t="n">
        <f aca="false">Z23/Z11</f>
        <v>0.343811715401904</v>
      </c>
    </row>
    <row r="26" customFormat="false" ht="15" hidden="false" customHeight="false" outlineLevel="0" collapsed="false">
      <c r="A26" s="20" t="s">
        <v>93</v>
      </c>
      <c r="B26" s="21" t="n">
        <v>-50</v>
      </c>
      <c r="C26" s="21" t="n">
        <v>158</v>
      </c>
      <c r="D26" s="21" t="n">
        <v>142</v>
      </c>
      <c r="E26" s="21" t="n">
        <v>19</v>
      </c>
      <c r="F26" s="22" t="n">
        <f aca="false">B26+C26+D26+E26</f>
        <v>269</v>
      </c>
      <c r="G26" s="21" t="n">
        <v>-248</v>
      </c>
      <c r="H26" s="21" t="n">
        <v>-279</v>
      </c>
      <c r="I26" s="21" t="n">
        <v>-171</v>
      </c>
      <c r="J26" s="21" t="n">
        <v>377</v>
      </c>
      <c r="K26" s="22" t="n">
        <f aca="false">G26+H26+I26+J26</f>
        <v>-321</v>
      </c>
      <c r="L26" s="21" t="n">
        <v>150</v>
      </c>
      <c r="M26" s="21" t="n">
        <v>-52</v>
      </c>
      <c r="N26" s="21" t="n">
        <v>572</v>
      </c>
      <c r="O26" s="23" t="n">
        <f aca="false">O11*Assumptions!H4</f>
        <v>112.83794</v>
      </c>
      <c r="P26" s="22" t="n">
        <f aca="false">L26+M26+N26+O26</f>
        <v>782.83794</v>
      </c>
      <c r="Q26" s="23" t="n">
        <f aca="false">Q11*Assumptions!H5</f>
        <v>156.75713</v>
      </c>
      <c r="R26" s="23" t="n">
        <f aca="false">R11*Assumptions!H6</f>
        <v>121.62752</v>
      </c>
      <c r="S26" s="23" t="n">
        <f aca="false">S11*Assumptions!H7</f>
        <v>119.70731</v>
      </c>
      <c r="T26" s="23" t="n">
        <f aca="false">T11*Assumptions!H8</f>
        <v>123.4893502</v>
      </c>
      <c r="U26" s="22" t="n">
        <f aca="false">Q26+R26+S26+T26</f>
        <v>521.5813102</v>
      </c>
      <c r="V26" s="23" t="n">
        <f aca="false">V11*Assumptions!H9</f>
        <v>168.1974392</v>
      </c>
      <c r="W26" s="23" t="n">
        <f aca="false">W11*Assumptions!H10</f>
        <v>131.025344</v>
      </c>
      <c r="X26" s="23" t="n">
        <f aca="false">X11*Assumptions!H11</f>
        <v>128.9738528</v>
      </c>
      <c r="Y26" s="23" t="n">
        <f aca="false">Y11*Assumptions!H12</f>
        <v>133.101363712</v>
      </c>
      <c r="Z26" s="22" t="n">
        <f aca="false">V26+W26+X26+Y26</f>
        <v>561.297999712</v>
      </c>
    </row>
    <row r="27" customFormat="false" ht="15" hidden="false" customHeight="false" outlineLevel="0" collapsed="false">
      <c r="A27" s="24" t="s">
        <v>94</v>
      </c>
      <c r="B27" s="23" t="n">
        <f aca="false">B23+B26</f>
        <v>40323</v>
      </c>
      <c r="C27" s="23" t="n">
        <f aca="false">C23+C26</f>
        <v>28058</v>
      </c>
      <c r="D27" s="23" t="n">
        <f aca="false">D23+D26</f>
        <v>25494</v>
      </c>
      <c r="E27" s="23" t="n">
        <f aca="false">E23+E26</f>
        <v>29610</v>
      </c>
      <c r="F27" s="22" t="n">
        <f aca="false">F23+F26</f>
        <v>123485</v>
      </c>
      <c r="G27" s="23" t="n">
        <f aca="false">G23+G26</f>
        <v>42584</v>
      </c>
      <c r="H27" s="23" t="n">
        <f aca="false">H23+H26</f>
        <v>29310</v>
      </c>
      <c r="I27" s="23" t="n">
        <f aca="false">I23+I26</f>
        <v>28031</v>
      </c>
      <c r="J27" s="23" t="n">
        <f aca="false">J23+J26</f>
        <v>32804</v>
      </c>
      <c r="K27" s="22" t="n">
        <f aca="false">K23+K26</f>
        <v>132729</v>
      </c>
      <c r="L27" s="23" t="n">
        <f aca="false">L23+L26</f>
        <v>51002</v>
      </c>
      <c r="M27" s="23" t="n">
        <f aca="false">M23+M26</f>
        <v>35833</v>
      </c>
      <c r="N27" s="23" t="n">
        <f aca="false">N23+N26</f>
        <v>36267</v>
      </c>
      <c r="O27" s="23" t="n">
        <f aca="false">O23+O26</f>
        <v>36241.35226</v>
      </c>
      <c r="P27" s="22" t="n">
        <f aca="false">P23+P26</f>
        <v>159343.35226</v>
      </c>
      <c r="Q27" s="23" t="n">
        <f aca="false">Q23+Q26</f>
        <v>50717.31581</v>
      </c>
      <c r="R27" s="23" t="n">
        <f aca="false">R23+R26</f>
        <v>38464.9024</v>
      </c>
      <c r="S27" s="23" t="n">
        <f aca="false">S23+S26</f>
        <v>37951.46644</v>
      </c>
      <c r="T27" s="23" t="n">
        <f aca="false">T23+T26</f>
        <v>42225.8343952</v>
      </c>
      <c r="U27" s="22" t="n">
        <f aca="false">U23+U26</f>
        <v>169359.5190452</v>
      </c>
      <c r="V27" s="23" t="n">
        <f aca="false">V23+V26</f>
        <v>57850.7562024</v>
      </c>
      <c r="W27" s="23" t="n">
        <f aca="false">W23+W26</f>
        <v>44063.2585472</v>
      </c>
      <c r="X27" s="23" t="n">
        <f aca="false">X23+X26</f>
        <v>43466.6084096</v>
      </c>
      <c r="Y27" s="23" t="n">
        <f aca="false">Y23+Y26</f>
        <v>48161.502973152</v>
      </c>
      <c r="Z27" s="22" t="n">
        <f aca="false">Z23+Z26</f>
        <v>193542.126132352</v>
      </c>
    </row>
    <row r="28" customFormat="false" ht="15" hidden="false" customHeight="false" outlineLevel="0" collapsed="false">
      <c r="A28" s="20" t="s">
        <v>95</v>
      </c>
      <c r="B28" s="21" t="n">
        <v>6407</v>
      </c>
      <c r="C28" s="21" t="n">
        <v>4422</v>
      </c>
      <c r="D28" s="21" t="n">
        <v>4046</v>
      </c>
      <c r="E28" s="21" t="n">
        <v>14874</v>
      </c>
      <c r="F28" s="22" t="n">
        <f aca="false">B28+C28+D28+E28</f>
        <v>29749</v>
      </c>
      <c r="G28" s="21" t="n">
        <v>6254</v>
      </c>
      <c r="H28" s="21" t="n">
        <v>4530</v>
      </c>
      <c r="I28" s="21" t="n">
        <v>4597</v>
      </c>
      <c r="J28" s="21" t="n">
        <v>5338</v>
      </c>
      <c r="K28" s="22" t="n">
        <f aca="false">G28+H28+I28+J28</f>
        <v>20719</v>
      </c>
      <c r="L28" s="21" t="n">
        <v>8905</v>
      </c>
      <c r="M28" s="21" t="n">
        <v>6255</v>
      </c>
      <c r="N28" s="21" t="n">
        <v>6478</v>
      </c>
      <c r="O28" s="23" t="n">
        <f aca="false">O27*Assumptions!I4</f>
        <v>6523.4434068</v>
      </c>
      <c r="P28" s="22" t="n">
        <f aca="false">L28+M28+N28+O28</f>
        <v>28161.4434068</v>
      </c>
      <c r="Q28" s="23" t="n">
        <f aca="false">Q27*Assumptions!I5</f>
        <v>9129.1168458</v>
      </c>
      <c r="R28" s="23" t="n">
        <f aca="false">R27*Assumptions!I6</f>
        <v>6923.682432</v>
      </c>
      <c r="S28" s="23" t="n">
        <f aca="false">S27*Assumptions!I7</f>
        <v>6831.2639592</v>
      </c>
      <c r="T28" s="23" t="n">
        <f aca="false">T27*Assumptions!I8</f>
        <v>7600.650191136</v>
      </c>
      <c r="U28" s="22" t="n">
        <f aca="false">Q28+R28+S28+T28</f>
        <v>30484.713428136</v>
      </c>
      <c r="V28" s="23" t="n">
        <f aca="false">V27*Assumptions!I9</f>
        <v>10413.136116432</v>
      </c>
      <c r="W28" s="23" t="n">
        <f aca="false">W27*Assumptions!I10</f>
        <v>7931.386538496</v>
      </c>
      <c r="X28" s="23" t="n">
        <f aca="false">X27*Assumptions!I11</f>
        <v>7823.989513728</v>
      </c>
      <c r="Y28" s="23" t="n">
        <f aca="false">Y27*Assumptions!I12</f>
        <v>8669.07053516736</v>
      </c>
      <c r="Z28" s="22" t="n">
        <f aca="false">V28+W28+X28+Y28</f>
        <v>34837.5827038234</v>
      </c>
    </row>
    <row r="29" customFormat="false" ht="15" hidden="false" customHeight="false" outlineLevel="0" collapsed="false">
      <c r="A29" s="25" t="s">
        <v>96</v>
      </c>
      <c r="B29" s="28" t="n">
        <f aca="false">B28/B27</f>
        <v>0.158891947523746</v>
      </c>
      <c r="C29" s="28" t="n">
        <f aca="false">C28/C27</f>
        <v>0.157602109915176</v>
      </c>
      <c r="D29" s="28" t="n">
        <f aca="false">D28/D27</f>
        <v>0.158704008786381</v>
      </c>
      <c r="E29" s="28" t="n">
        <f aca="false">E28/E27</f>
        <v>0.502330293819656</v>
      </c>
      <c r="F29" s="29" t="n">
        <f aca="false">F28/F27</f>
        <v>0.2409118516419</v>
      </c>
      <c r="G29" s="28" t="n">
        <f aca="false">G28/G27</f>
        <v>0.146862671425888</v>
      </c>
      <c r="H29" s="28" t="n">
        <f aca="false">H28/H27</f>
        <v>0.154554759467758</v>
      </c>
      <c r="I29" s="28" t="n">
        <f aca="false">I28/I27</f>
        <v>0.163997003317755</v>
      </c>
      <c r="J29" s="28" t="n">
        <f aca="false">J28/J27</f>
        <v>0.162724058041702</v>
      </c>
      <c r="K29" s="29" t="n">
        <f aca="false">K28/K27</f>
        <v>0.15610002335586</v>
      </c>
      <c r="L29" s="28" t="n">
        <f aca="false">L28/L27</f>
        <v>0.174600996039371</v>
      </c>
      <c r="M29" s="28" t="n">
        <f aca="false">M28/M27</f>
        <v>0.174559763346636</v>
      </c>
      <c r="N29" s="28" t="n">
        <f aca="false">N28/N27</f>
        <v>0.178619681804395</v>
      </c>
      <c r="O29" s="28" t="n">
        <f aca="false">O28/O27</f>
        <v>0.18</v>
      </c>
      <c r="P29" s="29" t="n">
        <f aca="false">P28/P27</f>
        <v>0.176734347604593</v>
      </c>
      <c r="Q29" s="28" t="n">
        <f aca="false">Q28/Q27</f>
        <v>0.18</v>
      </c>
      <c r="R29" s="28" t="n">
        <f aca="false">R28/R27</f>
        <v>0.18</v>
      </c>
      <c r="S29" s="28" t="n">
        <f aca="false">S28/S27</f>
        <v>0.18</v>
      </c>
      <c r="T29" s="28" t="n">
        <f aca="false">T28/T27</f>
        <v>0.18</v>
      </c>
      <c r="U29" s="29" t="n">
        <f aca="false">U28/U27</f>
        <v>0.18</v>
      </c>
      <c r="V29" s="28" t="n">
        <f aca="false">V28/V27</f>
        <v>0.18</v>
      </c>
      <c r="W29" s="28" t="n">
        <f aca="false">W28/W27</f>
        <v>0.18</v>
      </c>
      <c r="X29" s="28" t="n">
        <f aca="false">X28/X27</f>
        <v>0.18</v>
      </c>
      <c r="Y29" s="28" t="n">
        <f aca="false">Y28/Y27</f>
        <v>0.18</v>
      </c>
      <c r="Z29" s="29" t="n">
        <f aca="false">Z28/Z27</f>
        <v>0.18</v>
      </c>
    </row>
    <row r="30" customFormat="false" ht="15" hidden="false" customHeight="false" outlineLevel="0" collapsed="false">
      <c r="A30" s="24" t="s">
        <v>97</v>
      </c>
      <c r="B30" s="23" t="n">
        <f aca="false">B27-B28</f>
        <v>33916</v>
      </c>
      <c r="C30" s="23" t="n">
        <f aca="false">C27-C28</f>
        <v>23636</v>
      </c>
      <c r="D30" s="23" t="n">
        <f aca="false">D27-D28</f>
        <v>21448</v>
      </c>
      <c r="E30" s="23" t="n">
        <f aca="false">E27-E28</f>
        <v>14736</v>
      </c>
      <c r="F30" s="22" t="n">
        <f aca="false">F27-F28</f>
        <v>93736</v>
      </c>
      <c r="G30" s="23" t="n">
        <f aca="false">G27-G28</f>
        <v>36330</v>
      </c>
      <c r="H30" s="23" t="n">
        <f aca="false">H27-H28</f>
        <v>24780</v>
      </c>
      <c r="I30" s="23" t="n">
        <f aca="false">I27-I28</f>
        <v>23434</v>
      </c>
      <c r="J30" s="23" t="n">
        <f aca="false">J27-J28</f>
        <v>27466</v>
      </c>
      <c r="K30" s="22" t="n">
        <f aca="false">K27-K28</f>
        <v>112010</v>
      </c>
      <c r="L30" s="23" t="n">
        <f aca="false">L27-L28</f>
        <v>42097</v>
      </c>
      <c r="M30" s="23" t="n">
        <f aca="false">M27-M28</f>
        <v>29578</v>
      </c>
      <c r="N30" s="23" t="n">
        <f aca="false">N27-N28</f>
        <v>29789</v>
      </c>
      <c r="O30" s="23" t="n">
        <f aca="false">O27-O28</f>
        <v>29717.9088532</v>
      </c>
      <c r="P30" s="22" t="n">
        <f aca="false">P27-P28</f>
        <v>131181.9088532</v>
      </c>
      <c r="Q30" s="23" t="n">
        <f aca="false">Q27-Q28</f>
        <v>41588.1989642</v>
      </c>
      <c r="R30" s="23" t="n">
        <f aca="false">R27-R28</f>
        <v>31541.219968</v>
      </c>
      <c r="S30" s="23" t="n">
        <f aca="false">S27-S28</f>
        <v>31120.2024808</v>
      </c>
      <c r="T30" s="23" t="n">
        <f aca="false">T27-T28</f>
        <v>34625.184204064</v>
      </c>
      <c r="U30" s="22" t="n">
        <f aca="false">U27-U28</f>
        <v>138874.805617064</v>
      </c>
      <c r="V30" s="23" t="n">
        <f aca="false">V27-V28</f>
        <v>47437.620085968</v>
      </c>
      <c r="W30" s="23" t="n">
        <f aca="false">W27-W28</f>
        <v>36131.872008704</v>
      </c>
      <c r="X30" s="23" t="n">
        <f aca="false">X27-X28</f>
        <v>35642.618895872</v>
      </c>
      <c r="Y30" s="23" t="n">
        <f aca="false">Y27-Y28</f>
        <v>39492.4324379846</v>
      </c>
      <c r="Z30" s="22" t="n">
        <f aca="false">Z27-Z28</f>
        <v>158704.543428529</v>
      </c>
    </row>
    <row r="31" customFormat="false" ht="15" hidden="false" customHeight="false" outlineLevel="0" collapsed="false">
      <c r="A31" s="25" t="s">
        <v>98</v>
      </c>
      <c r="B31" s="28" t="n">
        <f aca="false">B30/B11</f>
        <v>0.283637884173113</v>
      </c>
      <c r="C31" s="28" t="n">
        <f aca="false">C30/C11</f>
        <v>0.260443180941677</v>
      </c>
      <c r="D31" s="28" t="n">
        <f aca="false">D30/D11</f>
        <v>0.250043718012987</v>
      </c>
      <c r="E31" s="28" t="n">
        <f aca="false">E30/E11</f>
        <v>0.155230169598652</v>
      </c>
      <c r="F31" s="29" t="n">
        <f aca="false">F30/F11</f>
        <v>0.239712557699439</v>
      </c>
      <c r="G31" s="28" t="n">
        <f aca="false">G30/G11</f>
        <v>0.292276749798874</v>
      </c>
      <c r="H31" s="28" t="n">
        <f aca="false">H30/H11</f>
        <v>0.25986010759341</v>
      </c>
      <c r="I31" s="28" t="n">
        <f aca="false">I30/I11</f>
        <v>0.249202433110724</v>
      </c>
      <c r="J31" s="28" t="n">
        <f aca="false">J30/J11</f>
        <v>0.268049889719517</v>
      </c>
      <c r="K31" s="29" t="n">
        <f aca="false">K30/K11</f>
        <v>0.269150641218182</v>
      </c>
      <c r="L31" s="28" t="n">
        <f aca="false">L30/L11</f>
        <v>0.292836472912435</v>
      </c>
      <c r="M31" s="28" t="n">
        <f aca="false">M30/M11</f>
        <v>0.266027485969204</v>
      </c>
      <c r="N31" s="28" t="n">
        <f aca="false">N30/N11</f>
        <v>0.272252026650338</v>
      </c>
      <c r="O31" s="28" t="n">
        <f aca="false">O30/O11</f>
        <v>0.26336805557776</v>
      </c>
      <c r="P31" s="29" t="n">
        <f aca="false">P30/P11</f>
        <v>0.274902137171027</v>
      </c>
      <c r="Q31" s="28" t="n">
        <f aca="false">Q30/Q11</f>
        <v>0.265303396178534</v>
      </c>
      <c r="R31" s="28" t="n">
        <f aca="false">R30/R11</f>
        <v>0.259326342985535</v>
      </c>
      <c r="S31" s="28" t="n">
        <f aca="false">S30/S11</f>
        <v>0.259969106989373</v>
      </c>
      <c r="T31" s="28" t="n">
        <f aca="false">T30/T11</f>
        <v>0.280390042930714</v>
      </c>
      <c r="U31" s="29" t="n">
        <f aca="false">U30/U11</f>
        <v>0.266257250597827</v>
      </c>
      <c r="V31" s="28" t="n">
        <f aca="false">V30/V11</f>
        <v>0.282035328906292</v>
      </c>
      <c r="W31" s="28" t="n">
        <f aca="false">W30/W11</f>
        <v>0.275762466295864</v>
      </c>
      <c r="X31" s="28" t="n">
        <f aca="false">X30/X11</f>
        <v>0.276355386166087</v>
      </c>
      <c r="Y31" s="28" t="n">
        <f aca="false">Y30/Y11</f>
        <v>0.296709450125823</v>
      </c>
      <c r="Z31" s="29" t="n">
        <f aca="false">Z30/Z11</f>
        <v>0.282745606629561</v>
      </c>
    </row>
    <row r="33" customFormat="false" ht="15" hidden="false" customHeight="false" outlineLevel="0" collapsed="false">
      <c r="A33" s="20" t="s">
        <v>99</v>
      </c>
      <c r="B33" s="30" t="n">
        <v>15576.641</v>
      </c>
      <c r="C33" s="30" t="n">
        <v>15464.709</v>
      </c>
      <c r="D33" s="30" t="n">
        <v>15348.175</v>
      </c>
      <c r="E33" s="30" t="n">
        <v>15242.853</v>
      </c>
      <c r="F33" s="31" t="n">
        <f aca="false">AVERAGE(B33:E33)</f>
        <v>15408.0945</v>
      </c>
      <c r="G33" s="30" t="n">
        <v>15150.865</v>
      </c>
      <c r="H33" s="30" t="n">
        <v>15056.133</v>
      </c>
      <c r="I33" s="30" t="n">
        <v>14948.179</v>
      </c>
      <c r="J33" s="30" t="n">
        <v>14863.609</v>
      </c>
      <c r="K33" s="31" t="n">
        <f aca="false">AVERAGE(G33:J33)</f>
        <v>15004.6965</v>
      </c>
      <c r="L33" s="30" t="n">
        <v>14810.356</v>
      </c>
      <c r="M33" s="30" t="n">
        <v>14725.873</v>
      </c>
      <c r="N33" s="30" t="n">
        <v>14714.676</v>
      </c>
      <c r="O33" s="32" t="n">
        <f aca="false">J33*(1-Assumptions!J4)</f>
        <v>14566.33682</v>
      </c>
      <c r="P33" s="31" t="n">
        <f aca="false">AVERAGE(L33:O33)</f>
        <v>14704.310455</v>
      </c>
      <c r="Q33" s="32" t="n">
        <f aca="false">L33*(1-Assumptions!J5)</f>
        <v>14514.14888</v>
      </c>
      <c r="R33" s="32" t="n">
        <f aca="false">M33*(1-Assumptions!J6)</f>
        <v>14431.35554</v>
      </c>
      <c r="S33" s="32" t="n">
        <f aca="false">N33*(1-Assumptions!J7)</f>
        <v>14420.38248</v>
      </c>
      <c r="T33" s="32" t="n">
        <f aca="false">O33*(1-Assumptions!J8)</f>
        <v>14275.0100836</v>
      </c>
      <c r="U33" s="31" t="n">
        <f aca="false">AVERAGE(Q33:T33)</f>
        <v>14410.2242459</v>
      </c>
      <c r="V33" s="32" t="n">
        <f aca="false">Q33*(1-Assumptions!J9)</f>
        <v>14223.8659024</v>
      </c>
      <c r="W33" s="32" t="n">
        <f aca="false">R33*(1-Assumptions!J10)</f>
        <v>14142.7284292</v>
      </c>
      <c r="X33" s="32" t="n">
        <f aca="false">S33*(1-Assumptions!J11)</f>
        <v>14131.9748304</v>
      </c>
      <c r="Y33" s="32" t="n">
        <f aca="false">T33*(1-Assumptions!J12)</f>
        <v>13989.509881928</v>
      </c>
      <c r="Z33" s="31" t="n">
        <f aca="false">AVERAGE(V33:Y33)</f>
        <v>14122.019760982</v>
      </c>
    </row>
    <row r="34" customFormat="false" ht="15" hidden="false" customHeight="false" outlineLevel="0" collapsed="false">
      <c r="A34" s="20" t="s">
        <v>100</v>
      </c>
      <c r="B34" s="30" t="n">
        <v>15509.763</v>
      </c>
      <c r="C34" s="30" t="n">
        <v>15405.856</v>
      </c>
      <c r="D34" s="30" t="n">
        <v>15287.521</v>
      </c>
      <c r="E34" s="30" t="n">
        <v>15171.99</v>
      </c>
      <c r="F34" s="31" t="n">
        <f aca="false">AVERAGE(B34:E34)</f>
        <v>15343.7825</v>
      </c>
      <c r="G34" s="30" t="n">
        <v>15081.724</v>
      </c>
      <c r="H34" s="30" t="n">
        <v>14994.082</v>
      </c>
      <c r="I34" s="30" t="n">
        <v>14902.886</v>
      </c>
      <c r="J34" s="30" t="n">
        <v>14815.307</v>
      </c>
      <c r="K34" s="31" t="n">
        <f aca="false">AVERAGE(G34:J34)</f>
        <v>14948.49975</v>
      </c>
      <c r="L34" s="30" t="n">
        <v>14748.158</v>
      </c>
      <c r="M34" s="30" t="n">
        <v>14673.278</v>
      </c>
      <c r="N34" s="30" t="n">
        <v>14656.11</v>
      </c>
      <c r="O34" s="32" t="n">
        <f aca="false">J34*(1-Assumptions!J4)</f>
        <v>14519.00086</v>
      </c>
      <c r="P34" s="31" t="n">
        <f aca="false">AVERAGE(L34:O34)</f>
        <v>14649.136715</v>
      </c>
      <c r="Q34" s="32" t="n">
        <f aca="false">L34*(1-Assumptions!J5)</f>
        <v>14453.19484</v>
      </c>
      <c r="R34" s="32" t="n">
        <f aca="false">M34*(1-Assumptions!J6)</f>
        <v>14379.81244</v>
      </c>
      <c r="S34" s="32" t="n">
        <f aca="false">N34*(1-Assumptions!J7)</f>
        <v>14362.9878</v>
      </c>
      <c r="T34" s="32" t="n">
        <f aca="false">O34*(1-Assumptions!J8)</f>
        <v>14228.6208428</v>
      </c>
      <c r="U34" s="31" t="n">
        <f aca="false">AVERAGE(Q34:T34)</f>
        <v>14356.1539807</v>
      </c>
      <c r="V34" s="32" t="n">
        <f aca="false">Q34*(1-Assumptions!J9)</f>
        <v>14164.1309432</v>
      </c>
      <c r="W34" s="32" t="n">
        <f aca="false">R34*(1-Assumptions!J10)</f>
        <v>14092.2161912</v>
      </c>
      <c r="X34" s="32" t="n">
        <f aca="false">S34*(1-Assumptions!J11)</f>
        <v>14075.728044</v>
      </c>
      <c r="Y34" s="32" t="n">
        <f aca="false">T34*(1-Assumptions!J12)</f>
        <v>13944.048425944</v>
      </c>
      <c r="Z34" s="31" t="n">
        <f aca="false">AVERAGE(V34:Y34)</f>
        <v>14069.030901086</v>
      </c>
    </row>
    <row r="35" customFormat="false" ht="15" hidden="false" customHeight="false" outlineLevel="0" collapsed="false">
      <c r="A35" s="20" t="s">
        <v>101</v>
      </c>
      <c r="B35" s="33" t="n">
        <f aca="false">B30/B33</f>
        <v>2.17736288587507</v>
      </c>
      <c r="C35" s="33" t="n">
        <f aca="false">C30/C33</f>
        <v>1.52838310762912</v>
      </c>
      <c r="D35" s="33" t="n">
        <f aca="false">D30/D33</f>
        <v>1.39742998760439</v>
      </c>
      <c r="E35" s="33" t="n">
        <f aca="false">E30/E33</f>
        <v>0.966748154036518</v>
      </c>
      <c r="F35" s="34" t="n">
        <f aca="false">F30/F33</f>
        <v>6.08355562720621</v>
      </c>
      <c r="G35" s="33" t="n">
        <f aca="false">G30/G33</f>
        <v>2.39788289315495</v>
      </c>
      <c r="H35" s="33" t="n">
        <f aca="false">H30/H33</f>
        <v>1.64584093405657</v>
      </c>
      <c r="I35" s="33" t="n">
        <f aca="false">I30/I33</f>
        <v>1.56768259197324</v>
      </c>
      <c r="J35" s="33" t="n">
        <f aca="false">J30/J33</f>
        <v>1.84786884531206</v>
      </c>
      <c r="K35" s="34" t="n">
        <f aca="false">K30/K33</f>
        <v>7.46499604307225</v>
      </c>
      <c r="L35" s="33" t="n">
        <f aca="false">L30/L33</f>
        <v>2.8424029780243</v>
      </c>
      <c r="M35" s="33" t="n">
        <f aca="false">M30/M33</f>
        <v>2.00857361733325</v>
      </c>
      <c r="N35" s="33" t="n">
        <f aca="false">N30/N33</f>
        <v>2.02444144879575</v>
      </c>
      <c r="O35" s="33" t="n">
        <f aca="false">O30/O33</f>
        <v>2.04017724019648</v>
      </c>
      <c r="P35" s="34" t="n">
        <f aca="false">P30/P33</f>
        <v>8.92132339388913</v>
      </c>
      <c r="Q35" s="33" t="n">
        <f aca="false">Q30/Q33</f>
        <v>2.86535568210321</v>
      </c>
      <c r="R35" s="33" t="n">
        <f aca="false">R30/R33</f>
        <v>2.18560341615698</v>
      </c>
      <c r="S35" s="33" t="n">
        <f aca="false">S30/S33</f>
        <v>2.15807053134419</v>
      </c>
      <c r="T35" s="33" t="n">
        <f aca="false">T30/T33</f>
        <v>2.42558036745932</v>
      </c>
      <c r="U35" s="34" t="n">
        <f aca="false">U30/U33</f>
        <v>9.63724111764443</v>
      </c>
      <c r="V35" s="33" t="n">
        <f aca="false">V30/V33</f>
        <v>3.33507222378719</v>
      </c>
      <c r="W35" s="33" t="n">
        <f aca="false">W30/W33</f>
        <v>2.55480208006425</v>
      </c>
      <c r="X35" s="33" t="n">
        <f aca="false">X30/X33</f>
        <v>2.52212584041682</v>
      </c>
      <c r="Y35" s="33" t="n">
        <f aca="false">Y30/Y33</f>
        <v>2.82300329113045</v>
      </c>
      <c r="Z35" s="34" t="n">
        <f aca="false">Z30/Z33</f>
        <v>11.2380910177605</v>
      </c>
    </row>
    <row r="36" customFormat="false" ht="15" hidden="false" customHeight="false" outlineLevel="0" collapsed="false">
      <c r="A36" s="20" t="s">
        <v>102</v>
      </c>
      <c r="B36" s="33" t="n">
        <f aca="false">B30/B34</f>
        <v>2.18675166087322</v>
      </c>
      <c r="C36" s="33" t="n">
        <f aca="false">C30/C34</f>
        <v>1.53422179202506</v>
      </c>
      <c r="D36" s="33" t="n">
        <f aca="false">D30/D34</f>
        <v>1.40297436059123</v>
      </c>
      <c r="E36" s="33" t="n">
        <f aca="false">E30/E34</f>
        <v>0.971263492791651</v>
      </c>
      <c r="F36" s="34" t="n">
        <f aca="false">F30/F34</f>
        <v>6.10905427002762</v>
      </c>
      <c r="G36" s="33" t="n">
        <f aca="false">G30/G34</f>
        <v>2.40887580226239</v>
      </c>
      <c r="H36" s="33" t="n">
        <f aca="false">H30/H34</f>
        <v>1.65265202631278</v>
      </c>
      <c r="I36" s="33" t="n">
        <f aca="false">I30/I34</f>
        <v>1.57244710856676</v>
      </c>
      <c r="J36" s="33" t="n">
        <f aca="false">J30/J34</f>
        <v>1.85389340902622</v>
      </c>
      <c r="K36" s="34" t="n">
        <f aca="false">K30/K34</f>
        <v>7.49305962961266</v>
      </c>
      <c r="L36" s="33" t="n">
        <f aca="false">L30/L34</f>
        <v>2.85439035844341</v>
      </c>
      <c r="M36" s="33" t="n">
        <f aca="false">M30/M34</f>
        <v>2.01577316261574</v>
      </c>
      <c r="N36" s="33" t="n">
        <f aca="false">N30/N34</f>
        <v>2.03253114230174</v>
      </c>
      <c r="O36" s="33" t="n">
        <f aca="false">O30/O34</f>
        <v>2.0468287824869</v>
      </c>
      <c r="P36" s="34" t="n">
        <f aca="false">P30/P34</f>
        <v>8.95492419828918</v>
      </c>
      <c r="Q36" s="33" t="n">
        <f aca="false">Q30/Q34</f>
        <v>2.87743986188454</v>
      </c>
      <c r="R36" s="33" t="n">
        <f aca="false">R30/R34</f>
        <v>2.19343750828505</v>
      </c>
      <c r="S36" s="33" t="n">
        <f aca="false">S30/S34</f>
        <v>2.1666942083457</v>
      </c>
      <c r="T36" s="33" t="n">
        <f aca="false">T30/T34</f>
        <v>2.43348843058005</v>
      </c>
      <c r="U36" s="34" t="n">
        <f aca="false">U30/U34</f>
        <v>9.67353831700074</v>
      </c>
      <c r="V36" s="33" t="n">
        <f aca="false">V30/V34</f>
        <v>3.34913735803482</v>
      </c>
      <c r="W36" s="33" t="n">
        <f aca="false">W30/W34</f>
        <v>2.56395953045816</v>
      </c>
      <c r="X36" s="33" t="n">
        <f aca="false">X30/X34</f>
        <v>2.53220428701485</v>
      </c>
      <c r="Y36" s="33" t="n">
        <f aca="false">Y30/Y34</f>
        <v>2.83220706294349</v>
      </c>
      <c r="Z36" s="34" t="n">
        <f aca="false">Z30/Z34</f>
        <v>11.2804175741968</v>
      </c>
    </row>
    <row r="38" customFormat="false" ht="15" hidden="false" customHeight="false" outlineLevel="0" collapsed="false">
      <c r="A38" s="25" t="s">
        <v>103</v>
      </c>
      <c r="B38" s="28" t="n">
        <f aca="false">B9/B11</f>
        <v>0.806673635793435</v>
      </c>
      <c r="C38" s="28" t="n">
        <f aca="false">C9/C11</f>
        <v>0.737011448657345</v>
      </c>
      <c r="D38" s="28" t="n">
        <f aca="false">D9/D11</f>
        <v>0.717721533744477</v>
      </c>
      <c r="E38" s="28" t="n">
        <f aca="false">E9/E11</f>
        <v>0.736943010639419</v>
      </c>
      <c r="F38" s="29" t="n">
        <f aca="false">F9/F11</f>
        <v>0.754065492858696</v>
      </c>
      <c r="G38" s="28" t="n">
        <f aca="false">G9/G11</f>
        <v>0.788093322606597</v>
      </c>
      <c r="H38" s="28" t="n">
        <f aca="false">H9/H11</f>
        <v>0.720582220870605</v>
      </c>
      <c r="I38" s="28" t="n">
        <f aca="false">I9/I11</f>
        <v>0.70837764260496</v>
      </c>
      <c r="J38" s="28" t="n">
        <f aca="false">J9/J11</f>
        <v>0.719419124392482</v>
      </c>
      <c r="K38" s="29" t="n">
        <f aca="false">K9/K11</f>
        <v>0.737702475724539</v>
      </c>
      <c r="L38" s="28" t="n">
        <f aca="false">L9/L11</f>
        <v>0.791222627229472</v>
      </c>
      <c r="M38" s="28" t="n">
        <f aca="false">M9/M11</f>
        <v>0.721398762411858</v>
      </c>
      <c r="N38" s="28" t="n">
        <f aca="false">N9/N11</f>
        <v>0.719065593097965</v>
      </c>
      <c r="O38" s="28" t="n">
        <f aca="false">O9/O11</f>
        <v>0.712087087020554</v>
      </c>
      <c r="P38" s="29" t="n">
        <f aca="false">P9/P11</f>
        <v>0.73969652737726</v>
      </c>
      <c r="Q38" s="28" t="n">
        <f aca="false">Q9/Q11</f>
        <v>0.783648182382517</v>
      </c>
      <c r="R38" s="28" t="n">
        <f aca="false">R9/R11</f>
        <v>0.71221249927648</v>
      </c>
      <c r="S38" s="28" t="n">
        <f aca="false">S9/S11</f>
        <v>0.709833342675564</v>
      </c>
      <c r="T38" s="28" t="n">
        <f aca="false">T9/T11</f>
        <v>0.702720316039043</v>
      </c>
      <c r="U38" s="29" t="n">
        <f aca="false">U9/U11</f>
        <v>0.730888526381097</v>
      </c>
      <c r="V38" s="28" t="n">
        <f aca="false">V9/V11</f>
        <v>0.774167472580641</v>
      </c>
      <c r="W38" s="28" t="n">
        <f aca="false">W9/W11</f>
        <v>0.700796621453633</v>
      </c>
      <c r="X38" s="28" t="n">
        <f aca="false">X9/X11</f>
        <v>0.698363059213813</v>
      </c>
      <c r="Y38" s="28" t="n">
        <f aca="false">Y9/Y11</f>
        <v>0.691091219103016</v>
      </c>
      <c r="Z38" s="29" t="n">
        <f aca="false">Z9/Z11</f>
        <v>0.719922150300442</v>
      </c>
    </row>
    <row r="39" customFormat="false" ht="15" hidden="false" customHeight="false" outlineLevel="0" collapsed="false">
      <c r="A39" s="25" t="s">
        <v>104</v>
      </c>
      <c r="B39" s="28" t="n">
        <f aca="false">B10/B11</f>
        <v>0.193326364206565</v>
      </c>
      <c r="C39" s="28" t="n">
        <f aca="false">C10/C11</f>
        <v>0.262988551342655</v>
      </c>
      <c r="D39" s="28" t="n">
        <f aca="false">D10/D11</f>
        <v>0.282278466255523</v>
      </c>
      <c r="E39" s="28" t="n">
        <f aca="false">E10/E11</f>
        <v>0.263056989360582</v>
      </c>
      <c r="F39" s="29" t="n">
        <f aca="false">F10/F11</f>
        <v>0.245934507141305</v>
      </c>
      <c r="G39" s="28" t="n">
        <f aca="false">G10/G11</f>
        <v>0.211906677393403</v>
      </c>
      <c r="H39" s="28" t="n">
        <f aca="false">H10/H11</f>
        <v>0.279417779129395</v>
      </c>
      <c r="I39" s="28" t="n">
        <f aca="false">I10/I11</f>
        <v>0.29162235739504</v>
      </c>
      <c r="J39" s="28" t="n">
        <f aca="false">J10/J11</f>
        <v>0.280580875607519</v>
      </c>
      <c r="K39" s="29" t="n">
        <f aca="false">K10/K11</f>
        <v>0.262297524275461</v>
      </c>
      <c r="L39" s="28" t="n">
        <f aca="false">L10/L11</f>
        <v>0.208777372770528</v>
      </c>
      <c r="M39" s="28" t="n">
        <f aca="false">M10/M11</f>
        <v>0.278601237588142</v>
      </c>
      <c r="N39" s="28" t="n">
        <f aca="false">N10/N11</f>
        <v>0.280934406902035</v>
      </c>
      <c r="O39" s="28" t="n">
        <f aca="false">O10/O11</f>
        <v>0.287912912979446</v>
      </c>
      <c r="P39" s="29" t="n">
        <f aca="false">P10/P11</f>
        <v>0.26030347262274</v>
      </c>
      <c r="Q39" s="28" t="n">
        <f aca="false">Q10/Q11</f>
        <v>0.216351817617482</v>
      </c>
      <c r="R39" s="28" t="n">
        <f aca="false">R10/R11</f>
        <v>0.287787500723521</v>
      </c>
      <c r="S39" s="28" t="n">
        <f aca="false">S10/S11</f>
        <v>0.290166657324436</v>
      </c>
      <c r="T39" s="28" t="n">
        <f aca="false">T10/T11</f>
        <v>0.297279683960957</v>
      </c>
      <c r="U39" s="29" t="n">
        <f aca="false">U10/U11</f>
        <v>0.269111473618903</v>
      </c>
      <c r="V39" s="28" t="n">
        <f aca="false">V10/V11</f>
        <v>0.225832527419359</v>
      </c>
      <c r="W39" s="28" t="n">
        <f aca="false">W10/W11</f>
        <v>0.299203378546367</v>
      </c>
      <c r="X39" s="28" t="n">
        <f aca="false">X10/X11</f>
        <v>0.301636940786187</v>
      </c>
      <c r="Y39" s="28" t="n">
        <f aca="false">Y10/Y11</f>
        <v>0.308908780896984</v>
      </c>
      <c r="Z39" s="29" t="n">
        <f aca="false">Z10/Z11</f>
        <v>0.280077849699558</v>
      </c>
    </row>
  </sheetData>
  <mergeCells count="5">
    <mergeCell ref="B5:F5"/>
    <mergeCell ref="G5:K5"/>
    <mergeCell ref="L5:P5"/>
    <mergeCell ref="Q5:U5"/>
    <mergeCell ref="V5:Z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4"/>
  </cols>
  <sheetData>
    <row r="1" customFormat="false" ht="16.15" hidden="false" customHeight="false" outlineLevel="0" collapsed="false">
      <c r="A1" s="14" t="s">
        <v>105</v>
      </c>
    </row>
    <row r="3" customFormat="false" ht="15" hidden="false" customHeight="false" outlineLevel="0" collapsed="false">
      <c r="B3" s="16" t="s">
        <v>106</v>
      </c>
      <c r="C3" s="16" t="s">
        <v>107</v>
      </c>
      <c r="D3" s="35" t="s">
        <v>108</v>
      </c>
      <c r="E3" s="18" t="s">
        <v>109</v>
      </c>
      <c r="F3" s="18" t="s">
        <v>110</v>
      </c>
    </row>
    <row r="4" customFormat="false" ht="15" hidden="false" customHeight="false" outlineLevel="0" collapsed="false">
      <c r="B4" s="19" t="s">
        <v>111</v>
      </c>
      <c r="C4" s="19" t="s">
        <v>111</v>
      </c>
      <c r="D4" s="19" t="s">
        <v>112</v>
      </c>
      <c r="E4" s="19" t="s">
        <v>113</v>
      </c>
      <c r="F4" s="19" t="s">
        <v>113</v>
      </c>
    </row>
    <row r="6" customFormat="false" ht="15" hidden="false" customHeight="false" outlineLevel="0" collapsed="false">
      <c r="A6" s="20" t="s">
        <v>79</v>
      </c>
      <c r="B6" s="23" t="n">
        <f aca="false">'Quarterly Model'!F9</f>
        <v>294866</v>
      </c>
      <c r="C6" s="23" t="n">
        <f aca="false">'Quarterly Model'!K9</f>
        <v>307003</v>
      </c>
      <c r="D6" s="23" t="n">
        <f aca="false">'Quarterly Model'!P9</f>
        <v>352979.44</v>
      </c>
      <c r="E6" s="36" t="n">
        <f aca="false">'Quarterly Model'!U9</f>
        <v>381217.7952</v>
      </c>
      <c r="F6" s="36" t="n">
        <f aca="false">'Quarterly Model'!Z9</f>
        <v>404090.862912</v>
      </c>
    </row>
    <row r="7" customFormat="false" ht="15" hidden="false" customHeight="false" outlineLevel="0" collapsed="false">
      <c r="A7" s="20" t="s">
        <v>80</v>
      </c>
      <c r="B7" s="23" t="n">
        <f aca="false">'Quarterly Model'!F10</f>
        <v>96169</v>
      </c>
      <c r="C7" s="23" t="n">
        <f aca="false">'Quarterly Model'!K10</f>
        <v>109158</v>
      </c>
      <c r="D7" s="23" t="n">
        <f aca="false">'Quarterly Model'!P10</f>
        <v>124215.5</v>
      </c>
      <c r="E7" s="36" t="n">
        <f aca="false">'Quarterly Model'!U10</f>
        <v>140363.515</v>
      </c>
      <c r="F7" s="36" t="n">
        <f aca="false">'Quarterly Model'!Z10</f>
        <v>157207.1368</v>
      </c>
    </row>
    <row r="8" customFormat="false" ht="15" hidden="false" customHeight="false" outlineLevel="0" collapsed="false">
      <c r="A8" s="24" t="s">
        <v>81</v>
      </c>
      <c r="B8" s="23" t="n">
        <f aca="false">B6+B7</f>
        <v>391035</v>
      </c>
      <c r="C8" s="23" t="n">
        <f aca="false">C6+C7</f>
        <v>416161</v>
      </c>
      <c r="D8" s="23" t="n">
        <f aca="false">D6+D7</f>
        <v>477194.94</v>
      </c>
      <c r="E8" s="36" t="n">
        <f aca="false">E6+E7</f>
        <v>521581.3102</v>
      </c>
      <c r="F8" s="36" t="n">
        <f aca="false">F6+F7</f>
        <v>561297.999712</v>
      </c>
    </row>
    <row r="9" customFormat="false" ht="15" hidden="false" customHeight="false" outlineLevel="0" collapsed="false">
      <c r="A9" s="25" t="s">
        <v>82</v>
      </c>
      <c r="B9" s="28"/>
      <c r="C9" s="28" t="n">
        <f aca="false">C8/B8-1</f>
        <v>0.0642551178283275</v>
      </c>
      <c r="D9" s="28" t="n">
        <f aca="false">D8/C8-1</f>
        <v>0.146659441898688</v>
      </c>
      <c r="E9" s="37" t="n">
        <f aca="false">E8/D8-1</f>
        <v>0.0930151736311371</v>
      </c>
      <c r="F9" s="37" t="n">
        <f aca="false">F8/E8-1</f>
        <v>0.076146688417134</v>
      </c>
    </row>
    <row r="11" customFormat="false" ht="15" hidden="false" customHeight="false" outlineLevel="0" collapsed="false">
      <c r="A11" s="24" t="s">
        <v>86</v>
      </c>
      <c r="B11" s="23" t="n">
        <f aca="false">'Quarterly Model'!F17</f>
        <v>180683</v>
      </c>
      <c r="C11" s="23" t="n">
        <f aca="false">'Quarterly Model'!K17</f>
        <v>195201</v>
      </c>
      <c r="D11" s="23" t="n">
        <f aca="false">'Quarterly Model'!P17</f>
        <v>232400.39502</v>
      </c>
      <c r="E11" s="36" t="n">
        <f aca="false">'Quarterly Model'!U17</f>
        <v>249464.872296</v>
      </c>
      <c r="F11" s="36" t="n">
        <f aca="false">'Quarterly Model'!Z17</f>
        <v>279764.7688352</v>
      </c>
    </row>
    <row r="12" customFormat="false" ht="15" hidden="false" customHeight="false" outlineLevel="0" collapsed="false">
      <c r="A12" s="25" t="s">
        <v>87</v>
      </c>
      <c r="B12" s="28" t="n">
        <f aca="false">B11/B8</f>
        <v>0.462063498152339</v>
      </c>
      <c r="C12" s="28" t="n">
        <f aca="false">C11/C8</f>
        <v>0.469051641071605</v>
      </c>
      <c r="D12" s="28" t="n">
        <f aca="false">D11/D8</f>
        <v>0.487013535851826</v>
      </c>
      <c r="E12" s="37" t="n">
        <f aca="false">E11/E8</f>
        <v>0.478285681287819</v>
      </c>
      <c r="F12" s="37" t="n">
        <f aca="false">F11/F8</f>
        <v>0.498424667429327</v>
      </c>
    </row>
    <row r="14" customFormat="false" ht="15" hidden="false" customHeight="false" outlineLevel="0" collapsed="false">
      <c r="A14" s="20" t="s">
        <v>88</v>
      </c>
      <c r="B14" s="23" t="n">
        <f aca="false">'Quarterly Model'!F20</f>
        <v>31370</v>
      </c>
      <c r="C14" s="23" t="n">
        <f aca="false">'Quarterly Model'!K20</f>
        <v>34550</v>
      </c>
      <c r="D14" s="23" t="n">
        <f aca="false">'Quarterly Model'!P20</f>
        <v>44077.57666</v>
      </c>
      <c r="E14" s="36" t="n">
        <f aca="false">'Quarterly Model'!U20</f>
        <v>48397.1679078</v>
      </c>
      <c r="F14" s="36" t="n">
        <f aca="false">'Quarterly Model'!Z20</f>
        <v>52093.036870368</v>
      </c>
    </row>
    <row r="15" customFormat="false" ht="15" hidden="false" customHeight="false" outlineLevel="0" collapsed="false">
      <c r="A15" s="20" t="s">
        <v>89</v>
      </c>
      <c r="B15" s="23" t="n">
        <f aca="false">'Quarterly Model'!F21</f>
        <v>26097</v>
      </c>
      <c r="C15" s="23" t="n">
        <f aca="false">'Quarterly Model'!K21</f>
        <v>27601</v>
      </c>
      <c r="D15" s="23" t="n">
        <f aca="false">'Quarterly Model'!P21</f>
        <v>29762.30404</v>
      </c>
      <c r="E15" s="36" t="n">
        <f aca="false">'Quarterly Model'!U21</f>
        <v>32229.7666532</v>
      </c>
      <c r="F15" s="36" t="n">
        <f aca="false">'Quarterly Model'!Z21</f>
        <v>34690.903832192</v>
      </c>
    </row>
    <row r="16" customFormat="false" ht="15" hidden="false" customHeight="false" outlineLevel="0" collapsed="false">
      <c r="A16" s="20" t="s">
        <v>90</v>
      </c>
      <c r="B16" s="23" t="n">
        <f aca="false">B14+B15</f>
        <v>57467</v>
      </c>
      <c r="C16" s="23" t="n">
        <f aca="false">C14+C15</f>
        <v>62151</v>
      </c>
      <c r="D16" s="23" t="n">
        <f aca="false">D14+D15</f>
        <v>73839.8807</v>
      </c>
      <c r="E16" s="36" t="n">
        <f aca="false">E14+E15</f>
        <v>80626.934561</v>
      </c>
      <c r="F16" s="36" t="n">
        <f aca="false">F14+F15</f>
        <v>86783.94070256</v>
      </c>
    </row>
    <row r="17" customFormat="false" ht="15" hidden="false" customHeight="false" outlineLevel="0" collapsed="false">
      <c r="A17" s="24" t="s">
        <v>91</v>
      </c>
      <c r="B17" s="23" t="n">
        <f aca="false">B11-B16</f>
        <v>123216</v>
      </c>
      <c r="C17" s="23" t="n">
        <f aca="false">C11-C16</f>
        <v>133050</v>
      </c>
      <c r="D17" s="23" t="n">
        <f aca="false">D11-D16</f>
        <v>158560.51432</v>
      </c>
      <c r="E17" s="36" t="n">
        <f aca="false">E11-E16</f>
        <v>168837.937735</v>
      </c>
      <c r="F17" s="36" t="n">
        <f aca="false">F11-F16</f>
        <v>192980.82813264</v>
      </c>
    </row>
    <row r="18" customFormat="false" ht="15" hidden="false" customHeight="false" outlineLevel="0" collapsed="false">
      <c r="A18" s="25" t="s">
        <v>92</v>
      </c>
      <c r="B18" s="28" t="n">
        <f aca="false">B17/B8</f>
        <v>0.315102228700756</v>
      </c>
      <c r="C18" s="28" t="n">
        <f aca="false">C17/C8</f>
        <v>0.319707997625919</v>
      </c>
      <c r="D18" s="28" t="n">
        <f aca="false">D17/D8</f>
        <v>0.332276185325854</v>
      </c>
      <c r="E18" s="37" t="n">
        <f aca="false">E17/E8</f>
        <v>0.323703964143691</v>
      </c>
      <c r="F18" s="37" t="n">
        <f aca="false">F17/F8</f>
        <v>0.343811715401904</v>
      </c>
    </row>
    <row r="20" customFormat="false" ht="15" hidden="false" customHeight="false" outlineLevel="0" collapsed="false">
      <c r="A20" s="20" t="s">
        <v>93</v>
      </c>
      <c r="B20" s="23" t="n">
        <f aca="false">'Quarterly Model'!F26</f>
        <v>269</v>
      </c>
      <c r="C20" s="23" t="n">
        <f aca="false">'Quarterly Model'!K26</f>
        <v>-321</v>
      </c>
      <c r="D20" s="23" t="n">
        <f aca="false">'Quarterly Model'!P26</f>
        <v>782.83794</v>
      </c>
      <c r="E20" s="36" t="n">
        <f aca="false">'Quarterly Model'!U26</f>
        <v>521.5813102</v>
      </c>
      <c r="F20" s="36" t="n">
        <f aca="false">'Quarterly Model'!Z26</f>
        <v>561.297999712</v>
      </c>
    </row>
    <row r="21" customFormat="false" ht="15" hidden="false" customHeight="false" outlineLevel="0" collapsed="false">
      <c r="A21" s="24" t="s">
        <v>94</v>
      </c>
      <c r="B21" s="23" t="n">
        <f aca="false">B17+B20</f>
        <v>123485</v>
      </c>
      <c r="C21" s="23" t="n">
        <f aca="false">C17+C20</f>
        <v>132729</v>
      </c>
      <c r="D21" s="23" t="n">
        <f aca="false">D17+D20</f>
        <v>159343.35226</v>
      </c>
      <c r="E21" s="36" t="n">
        <f aca="false">E17+E20</f>
        <v>169359.5190452</v>
      </c>
      <c r="F21" s="36" t="n">
        <f aca="false">F17+F20</f>
        <v>193542.126132352</v>
      </c>
    </row>
    <row r="22" customFormat="false" ht="15" hidden="false" customHeight="false" outlineLevel="0" collapsed="false">
      <c r="A22" s="20" t="s">
        <v>95</v>
      </c>
      <c r="B22" s="23" t="n">
        <f aca="false">'Quarterly Model'!F28</f>
        <v>29749</v>
      </c>
      <c r="C22" s="23" t="n">
        <f aca="false">'Quarterly Model'!K28</f>
        <v>20719</v>
      </c>
      <c r="D22" s="23" t="n">
        <f aca="false">'Quarterly Model'!P28</f>
        <v>28161.4434068</v>
      </c>
      <c r="E22" s="36" t="n">
        <f aca="false">'Quarterly Model'!U28</f>
        <v>30484.713428136</v>
      </c>
      <c r="F22" s="36" t="n">
        <f aca="false">'Quarterly Model'!Z28</f>
        <v>34837.5827038234</v>
      </c>
    </row>
    <row r="23" customFormat="false" ht="15" hidden="false" customHeight="false" outlineLevel="0" collapsed="false">
      <c r="A23" s="25" t="s">
        <v>96</v>
      </c>
      <c r="B23" s="28" t="n">
        <f aca="false">B22/B21</f>
        <v>0.2409118516419</v>
      </c>
      <c r="C23" s="28" t="n">
        <f aca="false">C22/C21</f>
        <v>0.15610002335586</v>
      </c>
      <c r="D23" s="28" t="n">
        <f aca="false">D22/D21</f>
        <v>0.176734347604593</v>
      </c>
      <c r="E23" s="37" t="n">
        <f aca="false">E22/E21</f>
        <v>0.18</v>
      </c>
      <c r="F23" s="37" t="n">
        <f aca="false">F22/F21</f>
        <v>0.18</v>
      </c>
    </row>
    <row r="24" customFormat="false" ht="15" hidden="false" customHeight="false" outlineLevel="0" collapsed="false">
      <c r="A24" s="24" t="s">
        <v>97</v>
      </c>
      <c r="B24" s="23" t="n">
        <f aca="false">B21-B22</f>
        <v>93736</v>
      </c>
      <c r="C24" s="23" t="n">
        <f aca="false">C21-C22</f>
        <v>112010</v>
      </c>
      <c r="D24" s="23" t="n">
        <f aca="false">D21-D22</f>
        <v>131181.9088532</v>
      </c>
      <c r="E24" s="36" t="n">
        <f aca="false">E21-E22</f>
        <v>138874.805617064</v>
      </c>
      <c r="F24" s="36" t="n">
        <f aca="false">F21-F22</f>
        <v>158704.543428529</v>
      </c>
    </row>
    <row r="25" customFormat="false" ht="15" hidden="false" customHeight="false" outlineLevel="0" collapsed="false">
      <c r="A25" s="25" t="s">
        <v>98</v>
      </c>
      <c r="B25" s="28" t="n">
        <f aca="false">B24/B8</f>
        <v>0.239712557699439</v>
      </c>
      <c r="C25" s="28" t="n">
        <f aca="false">C24/C8</f>
        <v>0.269150641218182</v>
      </c>
      <c r="D25" s="28" t="n">
        <f aca="false">D24/D8</f>
        <v>0.274902137171027</v>
      </c>
      <c r="E25" s="37" t="n">
        <f aca="false">E24/E8</f>
        <v>0.266257250597827</v>
      </c>
      <c r="F25" s="37" t="n">
        <f aca="false">F24/F8</f>
        <v>0.282745606629561</v>
      </c>
    </row>
    <row r="27" customFormat="false" ht="15" hidden="false" customHeight="false" outlineLevel="0" collapsed="false">
      <c r="A27" s="20" t="s">
        <v>99</v>
      </c>
      <c r="B27" s="32" t="n">
        <f aca="false">'Quarterly Model'!F33</f>
        <v>15408.0945</v>
      </c>
      <c r="C27" s="32" t="n">
        <f aca="false">'Quarterly Model'!K33</f>
        <v>15004.6965</v>
      </c>
      <c r="D27" s="32" t="n">
        <f aca="false">'Quarterly Model'!P33</f>
        <v>14704.310455</v>
      </c>
      <c r="E27" s="38" t="n">
        <f aca="false">'Quarterly Model'!U33</f>
        <v>14410.2242459</v>
      </c>
      <c r="F27" s="38" t="n">
        <f aca="false">'Quarterly Model'!Z33</f>
        <v>14122.019760982</v>
      </c>
    </row>
    <row r="28" customFormat="false" ht="15" hidden="false" customHeight="false" outlineLevel="0" collapsed="false">
      <c r="A28" s="20" t="s">
        <v>100</v>
      </c>
      <c r="B28" s="32" t="n">
        <f aca="false">'Quarterly Model'!F34</f>
        <v>15343.7825</v>
      </c>
      <c r="C28" s="32" t="n">
        <f aca="false">'Quarterly Model'!K34</f>
        <v>14948.49975</v>
      </c>
      <c r="D28" s="32" t="n">
        <f aca="false">'Quarterly Model'!P34</f>
        <v>14649.136715</v>
      </c>
      <c r="E28" s="38" t="n">
        <f aca="false">'Quarterly Model'!U34</f>
        <v>14356.1539807</v>
      </c>
      <c r="F28" s="38" t="n">
        <f aca="false">'Quarterly Model'!Z34</f>
        <v>14069.030901086</v>
      </c>
    </row>
    <row r="29" customFormat="false" ht="15" hidden="false" customHeight="false" outlineLevel="0" collapsed="false">
      <c r="A29" s="20" t="s">
        <v>101</v>
      </c>
      <c r="B29" s="33" t="n">
        <f aca="false">B24/B27</f>
        <v>6.08355562720621</v>
      </c>
      <c r="C29" s="33" t="n">
        <f aca="false">C24/C27</f>
        <v>7.46499604307225</v>
      </c>
      <c r="D29" s="33" t="n">
        <f aca="false">D24/D27</f>
        <v>8.92132339388913</v>
      </c>
      <c r="E29" s="39" t="n">
        <f aca="false">E24/E27</f>
        <v>9.63724111764443</v>
      </c>
      <c r="F29" s="39" t="n">
        <f aca="false">F24/F27</f>
        <v>11.2380910177605</v>
      </c>
    </row>
    <row r="30" customFormat="false" ht="15" hidden="false" customHeight="false" outlineLevel="0" collapsed="false">
      <c r="A30" s="20" t="s">
        <v>102</v>
      </c>
      <c r="B30" s="33" t="n">
        <f aca="false">B24/B28</f>
        <v>6.10905427002762</v>
      </c>
      <c r="C30" s="33" t="n">
        <f aca="false">C24/C28</f>
        <v>7.49305962961266</v>
      </c>
      <c r="D30" s="33" t="n">
        <f aca="false">D24/D28</f>
        <v>8.95492419828918</v>
      </c>
      <c r="E30" s="39" t="n">
        <f aca="false">E24/E28</f>
        <v>9.67353831700074</v>
      </c>
      <c r="F30" s="39" t="n">
        <f aca="false">F24/F28</f>
        <v>11.2804175741968</v>
      </c>
    </row>
    <row r="31" customFormat="false" ht="15" hidden="false" customHeight="false" outlineLevel="0" collapsed="false">
      <c r="A31" s="25" t="s">
        <v>114</v>
      </c>
      <c r="B31" s="28"/>
      <c r="C31" s="28" t="n">
        <f aca="false">C24/B24-1</f>
        <v>0.194951779465734</v>
      </c>
      <c r="D31" s="28" t="n">
        <f aca="false">D24/C24-1</f>
        <v>0.171162475253995</v>
      </c>
      <c r="E31" s="37" t="n">
        <f aca="false">E24/D24-1</f>
        <v>0.0586429701405924</v>
      </c>
      <c r="F31" s="37" t="n">
        <f aca="false">F24/E24-1</f>
        <v>0.142788590942431</v>
      </c>
    </row>
    <row r="32" customFormat="false" ht="15" hidden="false" customHeight="false" outlineLevel="0" collapsed="false">
      <c r="A32" s="25" t="s">
        <v>115</v>
      </c>
      <c r="B32" s="28"/>
      <c r="C32" s="28" t="n">
        <f aca="false">C29/B29-1</f>
        <v>0.227077798004857</v>
      </c>
      <c r="D32" s="28" t="n">
        <f aca="false">D29/C29-1</f>
        <v>0.195087491328063</v>
      </c>
      <c r="E32" s="37" t="n">
        <f aca="false">E29/D29-1</f>
        <v>0.0802479287148901</v>
      </c>
      <c r="F32" s="37" t="n">
        <f aca="false">F29/E29-1</f>
        <v>0.166110807084113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2026-08-17T02:35:24Z</dcterms:created>
  <dc:creator>GridPath</dc:creator>
  <dc:description>Apple Inc. quarterly income statement model with FY2024-FY2026Q3 actuals and FY2026Q4-FY2028 forecast</dc:description>
  <dc:language>en-US</dc:language>
  <cp:lastModifiedBy/>
  <dcterms:modified xsi:type="dcterms:W3CDTF">2026-08-17T02:35:24Z</dcterms:modified>
  <cp:revision>0</cp:revision>
  <dc:subject/>
  <dc:title>AAPL Income Statement Forecast FY2026-FY2028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