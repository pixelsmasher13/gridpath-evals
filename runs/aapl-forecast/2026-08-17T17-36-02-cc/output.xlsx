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2"/>
  </bookViews>
  <sheets>
    <sheet name="Notes" sheetId="1" state="visible" r:id="rId3"/>
    <sheet name="Assumptions" sheetId="2" state="visible" r:id="rId4"/>
    <sheet name="Income Statement"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<sst xmlns="http://schemas.openxmlformats.org/spreadsheetml/2006/main" count="163" uniqueCount="117">
  <si>
    <t xml:space="preserve">Apple Inc. (AAPL) — Quarterly Income Statement Forecast, FY2026Q4–FY2028</t>
  </si>
  <si>
    <t xml:space="preserve">Actuals FY2024–FY2026 Q3, forecast FY2026 Q4 through FY2028 Q4. $ in millions except per-share amounts.</t>
  </si>
  <si>
    <t xml:space="preserve">Data sources (actuals)</t>
  </si>
  <si>
    <t xml:space="preserve">• FY2024 &amp; FY2025 (full years, all quarters) and FY2026 Q1–Q3: Apple Inc. Condensed Consolidated Statements of Operations, as filed with the SEC (Form 8-K Exhibit 99.1 quarterly press releases and Form 10-K), sourced from SEC EDGAR (sec.gov/cgi-bin/browse-edgar?action=getcompany&amp;CIK=0000320193) and apple.com/newsroom. All figures are GAAP as reported.</t>
  </si>
  <si>
    <t xml:space="preserve">• Products/Services split of gross margin is not printed by Apple as a separate line; Products and Services gross margin $ are computed here as (segment net sales − segment cost of sales), which is an exact, unambiguous derivation from Apple's reported figures.</t>
  </si>
  <si>
    <t xml:space="preserve">• FY2026 Q4 (forecast) is grounded in Apple's official guidance given on the fiscal Q3 2026 earnings call (July 30, 2026): total revenue growth of 9%–11% YoY (2.5pp FX headwind, supply constraints on iPhone/Mac/iPad cited), gross margin of 47%–48% (including ~1pp tariff-refund benefit, down from Q3's ~2pp benefit), and operating expenses of $19.1B–$19.4B. The assumptions below were calibrated to land near the midpoint of each guided range.</t>
  </si>
  <si>
    <t xml:space="preserve">FY2027–FY2028 forecast methodology</t>
  </si>
  <si>
    <t xml:space="preserve">• Built bottom-up on the Assumptions sheet: Products and Services net sales are grown at assumed year-over-year rates off the same fiscal quarter one year prior (preserving Apple's strong seasonality, e.g. fiscal Q1 = holiday quarter). Products revenue growth is assumed to moderate from FY2026's iPhone 17-driven mid-to-high-teens pace to a normalized mid-single-digit rate; Services growth is assumed to remain low-double-digit, consistent with its multi-year trend, decelerating only gradually.</t>
  </si>
  <si>
    <t xml:space="preserve">• Gross margin: Products margin assumed to settle around 36.5%–37.3% (in line with the FY2025 run-rate of ~36%, after FY2026's temporary tariff-refund boost fades, with slow mix/efficiency-driven expansion). Services margin assumed to keep expanding gradually from ~75.5% toward ~76.8%, continuing its multi-year trend.</t>
  </si>
  <si>
    <t xml:space="preserve">• Operating expenses are modeled as a % of total revenue. R&amp;D intensity is assumed to keep rising (from ~10.5% to ~11.0% of revenue) reflecting Apple's stated step-up in AI/Siri investment; SG&amp;A is held roughly flat at ~6.4%–6.5% of revenue.</t>
  </si>
  <si>
    <t xml:space="preserve">• Effective tax rate is assumed to keep drifting up gradually (18.0% → 18.3%), continuing the trend visible through FY2026 (14.7% in FY2025 Q1 up to 17.9% in FY2026 Q3), driven by new U.S. Treasury foreign-currency-loss regulations effective December 2024 and other international tax changes.</t>
  </si>
  <si>
    <t xml:space="preserve">• Diluted share count is assumed to keep declining ~0.5% per quarter (~2% per year) from continued share buybacks — consistent with Apple's realized pace of roughly $90–100B in annual repurchases and its newest $100B buyback authorization (approved April 30, 2026).</t>
  </si>
  <si>
    <t xml:space="preserve">• Other income/(expense), net is held flat at a small assumed +$150M per quarter — this line is small and volatile (it ranged from -$279M to +$572M over the last 8 reported quarters) and is not meaningfully predictable, so it is not modeled with a growth driver.</t>
  </si>
  <si>
    <t xml:space="preserve">Validation</t>
  </si>
  <si>
    <t xml:space="preserve">• Summing this model's FY2026 quarters (3 actual + 1 forecast) yields ~$477.0B total revenue and ~$8.80 diluted EPS. As of August 17, 2026, Wall Street consensus (stockanalysis.com) for FY2026 was $477.6B revenue (+14.8% YoY) and $8.80 diluted EPS (+18.0% YoY) — a very close match, which supports the credibility of this model's methodology before it is extended into FY2027–FY2028, where public analyst consensus was found to be thin and inconsistent across sources (individual FY2027 EPS estimates ranged $8.03–$9.61 with no reliable full-year revenue consensus available, and FY2028 had essentially no public consensus at all).</t>
  </si>
  <si>
    <t xml:space="preserve">Data quality flag</t>
  </si>
  <si>
    <t xml:space="preserve">• FY2024 Q4 and the FY2024 full year include a one-time, non-recurring $10.2 billion income tax charge related to the reversal of the EU General Court's State Aid decision on Ireland tax rulings. This materially distorts the GAAP effective tax rate (50.2% in Q4 FY2024; 24.1% for full-year FY2024) and GAAP net income/EPS for that period versus Apple's underlying operating trend — shown here as reported (GAAP), unadjusted.</t>
  </si>
  <si>
    <t xml:space="preserve">How to use this model</t>
  </si>
  <si>
    <t xml:space="preserve">• All forecast quarters (shaded amber in the Income Statement sheet) are formula-driven from the Assumptions sheet — change any assumption cell there and the entire model recalculates. Actual quarters (shaded blue) contain Apple's as-reported figures for the primary line items (Products/Services net sales &amp; cost of sales, R&amp;D, SG&amp;A, other income, tax provision, share counts); all subtotals, margins, and EPS are computed via formulas even in actual periods, so they tie out to Apple's reported totals.</t>
  </si>
  <si>
    <t xml:space="preserve">• Workbook built August 17, 2026.</t>
  </si>
  <si>
    <t xml:space="preserve">Forecast Assumptions — FY2026 Q4 through FY2028 Q4</t>
  </si>
  <si>
    <t xml:space="preserve">Editable drivers. All forecast formulas in the Income Statement sheet reference these cells.</t>
  </si>
  <si>
    <t xml:space="preserve">Fiscal Quarter</t>
  </si>
  <si>
    <t xml:space="preserve">Q4 FY26</t>
  </si>
  <si>
    <t xml:space="preserve">Q1 FY27</t>
  </si>
  <si>
    <t xml:space="preserve">Q2 FY27</t>
  </si>
  <si>
    <t xml:space="preserve">Q3 FY27</t>
  </si>
  <si>
    <t xml:space="preserve">Q4 FY27</t>
  </si>
  <si>
    <t xml:space="preserve">Q1 FY28</t>
  </si>
  <si>
    <t xml:space="preserve">Q2 FY28</t>
  </si>
  <si>
    <t xml:space="preserve">Q3 FY28</t>
  </si>
  <si>
    <t xml:space="preserve">Q4 FY28</t>
  </si>
  <si>
    <t xml:space="preserve">~Sep 26, 2026 (est.)</t>
  </si>
  <si>
    <t xml:space="preserve">~Dec 26, 2026 (est.)</t>
  </si>
  <si>
    <t xml:space="preserve">~Mar 27, 2027 (est.)</t>
  </si>
  <si>
    <t xml:space="preserve">~Jun 26, 2027 (est.)</t>
  </si>
  <si>
    <t xml:space="preserve">~Sep 25, 2027 (est.)</t>
  </si>
  <si>
    <t xml:space="preserve">~Dec 25, 2027 (est.)</t>
  </si>
  <si>
    <t xml:space="preserve">~Mar 25, 2028 (est.)</t>
  </si>
  <si>
    <t xml:space="preserve">~Jun 24, 2028 (est.)</t>
  </si>
  <si>
    <t xml:space="preserve">~Sep 30, 2028 (est.)</t>
  </si>
  <si>
    <t xml:space="preserve">Revenue Growth (Year-over-Year %)</t>
  </si>
  <si>
    <t xml:space="preserve">Products net sales — YoY growth %</t>
  </si>
  <si>
    <t xml:space="preserve">Services net sales — YoY growth %</t>
  </si>
  <si>
    <t xml:space="preserve">Gross Margin Assumptions</t>
  </si>
  <si>
    <t xml:space="preserve">Products gross margin %</t>
  </si>
  <si>
    <t xml:space="preserve">Services gross margin %</t>
  </si>
  <si>
    <t xml:space="preserve">Operating Expense Assumptions (Year-over-Year $ growth, off same prior-year quarter)</t>
  </si>
  <si>
    <t xml:space="preserve">Research &amp; development — YoY $ growth %</t>
  </si>
  <si>
    <t xml:space="preserve">Selling, general &amp; administrative — YoY $ growth %</t>
  </si>
  <si>
    <t xml:space="preserve">Other Assumptions</t>
  </si>
  <si>
    <t xml:space="preserve">Other income/(expense), net ($M)</t>
  </si>
  <si>
    <t xml:space="preserve">Effective tax rate %</t>
  </si>
  <si>
    <t xml:space="preserve">Diluted shares — sequential (QoQ) change % (buybacks)</t>
  </si>
  <si>
    <t xml:space="preserve">Basic/diluted share dilution spread (M shares)</t>
  </si>
  <si>
    <t xml:space="preserve">Apple Inc. (AAPL) — Quarterly Income Statement: Actuals &amp; Forecast</t>
  </si>
  <si>
    <t xml:space="preserve">$ in millions, except per-share amounts; share counts in millions. Actual quarters shaded blue, forecast quarters shaded amber.</t>
  </si>
  <si>
    <t xml:space="preserve">Q1 FY24</t>
  </si>
  <si>
    <t xml:space="preserve">Q2 FY24</t>
  </si>
  <si>
    <t xml:space="preserve">Q3 FY24</t>
  </si>
  <si>
    <t xml:space="preserve">Q4 FY24</t>
  </si>
  <si>
    <t xml:space="preserve">FY24 Total</t>
  </si>
  <si>
    <t xml:space="preserve">Q1 FY25</t>
  </si>
  <si>
    <t xml:space="preserve">Q2 FY25</t>
  </si>
  <si>
    <t xml:space="preserve">Q3 FY25</t>
  </si>
  <si>
    <t xml:space="preserve">Q4 FY25</t>
  </si>
  <si>
    <t xml:space="preserve">FY25 Total</t>
  </si>
  <si>
    <t xml:space="preserve">Q1 FY26</t>
  </si>
  <si>
    <t xml:space="preserve">Q2 FY26</t>
  </si>
  <si>
    <t xml:space="preserve">Q3 FY26</t>
  </si>
  <si>
    <t xml:space="preserve">FY26 Total</t>
  </si>
  <si>
    <t xml:space="preserve">FY27 Total</t>
  </si>
  <si>
    <t xml:space="preserve">FY28 Total</t>
  </si>
  <si>
    <t xml:space="preserve">Dec 30, 2023</t>
  </si>
  <si>
    <t xml:space="preserve">Mar 30, 2024</t>
  </si>
  <si>
    <t xml:space="preserve">Jun 29, 2024</t>
  </si>
  <si>
    <t xml:space="preserve">Sep 28, 2024</t>
  </si>
  <si>
    <t xml:space="preserve">Fiscal Year</t>
  </si>
  <si>
    <t xml:space="preserve">Dec 28, 2024</t>
  </si>
  <si>
    <t xml:space="preserve">Mar 29, 2025</t>
  </si>
  <si>
    <t xml:space="preserve">Jun 28, 2025</t>
  </si>
  <si>
    <t xml:space="preserve">Sep 27, 2025</t>
  </si>
  <si>
    <t xml:space="preserve">Dec 27, 2025</t>
  </si>
  <si>
    <t xml:space="preserve">Mar 28, 2026</t>
  </si>
  <si>
    <t xml:space="preserve">Jun 27, 2026</t>
  </si>
  <si>
    <t xml:space="preserve">Actual</t>
  </si>
  <si>
    <t xml:space="preserve">Forecast</t>
  </si>
  <si>
    <t xml:space="preserve">Actual + Forecast</t>
  </si>
  <si>
    <t xml:space="preserve">Net Sales</t>
  </si>
  <si>
    <t xml:space="preserve">Products</t>
  </si>
  <si>
    <t xml:space="preserve">Services</t>
  </si>
  <si>
    <t xml:space="preserve">Total net sales</t>
  </si>
  <si>
    <t xml:space="preserve">  YoY growth %</t>
  </si>
  <si>
    <t xml:space="preserve">Cost of Sales</t>
  </si>
  <si>
    <t xml:space="preserve">Total cost of sales</t>
  </si>
  <si>
    <t xml:space="preserve">Gross Margin</t>
  </si>
  <si>
    <t xml:space="preserve">Products gross margin</t>
  </si>
  <si>
    <t xml:space="preserve">Services gross margin</t>
  </si>
  <si>
    <t xml:space="preserve">Total gross margin</t>
  </si>
  <si>
    <t xml:space="preserve">  Gross margin %</t>
  </si>
  <si>
    <t xml:space="preserve">Operating Expenses</t>
  </si>
  <si>
    <t xml:space="preserve">Research &amp; development</t>
  </si>
  <si>
    <t xml:space="preserve">Selling, general &amp; administrative</t>
  </si>
  <si>
    <t xml:space="preserve">Total operating expenses</t>
  </si>
  <si>
    <t xml:space="preserve">Operating income</t>
  </si>
  <si>
    <t xml:space="preserve">  Operating margin %</t>
  </si>
  <si>
    <t xml:space="preserve">Other income/(expense), net</t>
  </si>
  <si>
    <t xml:space="preserve">Income before provision for income taxes</t>
  </si>
  <si>
    <t xml:space="preserve">Provision for income taxes</t>
  </si>
  <si>
    <t xml:space="preserve">  Effective tax rate %</t>
  </si>
  <si>
    <t xml:space="preserve">Net income</t>
  </si>
  <si>
    <t xml:space="preserve">  Net margin %</t>
  </si>
  <si>
    <t xml:space="preserve">Per Share Data</t>
  </si>
  <si>
    <t xml:space="preserve">Basic earnings per share</t>
  </si>
  <si>
    <t xml:space="preserve">Diluted earnings per share</t>
  </si>
  <si>
    <t xml:space="preserve">Basic weighted-avg shares outstanding</t>
  </si>
  <si>
    <t xml:space="preserve">Diluted weighted-avg shares outstanding</t>
  </si>
</sst>
</file>

<file path=xl/styles.xml><?xml version="1.0" encoding="utf-8"?>
<styleSheet xmlns="http://schemas.openxmlformats.org/spreadsheetml/2006/main">
  <numFmts count="6">
    <numFmt numFmtId="164" formatCode="General"/>
    <numFmt numFmtId="165" formatCode="0.0%"/>
    <numFmt numFmtId="166" formatCode="#,##0;\(#,##0\)"/>
    <numFmt numFmtId="167" formatCode="0.00%"/>
    <numFmt numFmtId="168" formatCode="#,##0.0"/>
    <numFmt numFmtId="169" formatCode="\$0.00"/>
  </numFmts>
  <fonts count="14">
    <font>
      <sz val="11"/>
      <color theme="1"/>
      <name val="Calibri"/>
      <family val="2"/>
      <charset val="1"/>
    </font>
    <font>
      <sz val="10"/>
      <name val="Arial"/>
      <family val="0"/>
    </font>
    <font>
      <sz val="10"/>
      <name val="Arial"/>
      <family val="0"/>
    </font>
    <font>
      <sz val="10"/>
      <name val="Arial"/>
      <family val="0"/>
    </font>
    <font>
      <b val="true"/>
      <sz val="14"/>
      <name val="Cambria"/>
      <family val="0"/>
      <charset val="1"/>
    </font>
    <font>
      <i val="true"/>
      <sz val="10"/>
      <color rgb="FF595959"/>
      <name val="Cambria"/>
      <family val="0"/>
      <charset val="1"/>
    </font>
    <font>
      <b val="true"/>
      <sz val="10"/>
      <color rgb="FF1F4E78"/>
      <name val="Cambria"/>
      <family val="0"/>
      <charset val="1"/>
    </font>
    <font>
      <sz val="10"/>
      <name val="Cambria"/>
      <family val="0"/>
      <charset val="1"/>
    </font>
    <font>
      <b val="true"/>
      <sz val="11"/>
      <color rgb="FFFFFFFF"/>
      <name val="Cambria"/>
      <family val="0"/>
      <charset val="1"/>
    </font>
    <font>
      <i val="true"/>
      <sz val="9"/>
      <color rgb="FF808080"/>
      <name val="Cambria"/>
      <family val="0"/>
      <charset val="1"/>
    </font>
    <font>
      <b val="true"/>
      <sz val="9"/>
      <color rgb="FF1F4E78"/>
      <name val="Cambria"/>
      <family val="0"/>
      <charset val="1"/>
    </font>
    <font>
      <b val="true"/>
      <sz val="9"/>
      <color rgb="FF404040"/>
      <name val="Cambria"/>
      <family val="0"/>
      <charset val="1"/>
    </font>
    <font>
      <b val="true"/>
      <sz val="9"/>
      <color rgb="FF974706"/>
      <name val="Cambria"/>
      <family val="0"/>
      <charset val="1"/>
    </font>
    <font>
      <b val="true"/>
      <sz val="11"/>
      <name val="Cambria"/>
      <family val="0"/>
      <charset val="1"/>
    </font>
  </fonts>
  <fills count="8">
    <fill>
      <patternFill patternType="none"/>
    </fill>
    <fill>
      <patternFill patternType="gray125"/>
    </fill>
    <fill>
      <patternFill patternType="solid">
        <fgColor rgb="FF1F4E78"/>
        <bgColor rgb="FF003366"/>
      </patternFill>
    </fill>
    <fill>
      <patternFill patternType="solid">
        <fgColor rgb="FFEDEDED"/>
        <bgColor rgb="FFF2F2F2"/>
      </patternFill>
    </fill>
    <fill>
      <patternFill patternType="solid">
        <fgColor rgb="FFDCE6F1"/>
        <bgColor rgb="FFEDEDED"/>
      </patternFill>
    </fill>
    <fill>
      <patternFill patternType="solid">
        <fgColor rgb="FFD9D9D9"/>
        <bgColor rgb="FFDCE6F1"/>
      </patternFill>
    </fill>
    <fill>
      <patternFill patternType="solid">
        <fgColor rgb="FFFFF2CC"/>
        <bgColor rgb="FFF2F2F2"/>
      </patternFill>
    </fill>
    <fill>
      <patternFill patternType="solid">
        <fgColor rgb="FFF2F2F2"/>
        <bgColor rgb="FFEDEDED"/>
      </patternFill>
    </fill>
  </fills>
  <borders count="2">
    <border diagonalUp="false" diagonalDown="false">
      <left/>
      <right/>
      <top/>
      <bottom/>
      <diagonal/>
    </border>
    <border diagonalUp="false" diagonalDown="false">
      <left/>
      <right/>
      <top style="thin">
        <color rgb="FF404040"/>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center" vertical="bottom" textRotation="0" wrapText="false" indent="0" shrinkToFit="false"/>
      <protection locked="true" hidden="false"/>
    </xf>
    <xf numFmtId="164" fontId="9" fillId="0" borderId="0" xfId="0" applyFont="true" applyBorder="false" applyAlignment="true" applyProtection="false">
      <alignment horizontal="center"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1" shrinkToFit="false"/>
      <protection locked="true" hidden="false"/>
    </xf>
    <xf numFmtId="165" fontId="0" fillId="0" borderId="0" xfId="0" applyFont="fals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center" vertical="bottom" textRotation="0" wrapText="false" indent="0" shrinkToFit="false"/>
      <protection locked="true" hidden="false"/>
    </xf>
    <xf numFmtId="167" fontId="0" fillId="0" borderId="0" xfId="0" applyFont="false" applyBorder="false" applyAlignment="true" applyProtection="false">
      <alignment horizontal="center" vertical="bottom" textRotation="0" wrapText="false" indent="0" shrinkToFit="false"/>
      <protection locked="true" hidden="false"/>
    </xf>
    <xf numFmtId="168" fontId="0" fillId="0" borderId="0" xfId="0" applyFont="false" applyBorder="false" applyAlignment="true" applyProtection="false">
      <alignment horizontal="center" vertical="bottom" textRotation="0" wrapText="false" indent="0" shrinkToFit="false"/>
      <protection locked="true" hidden="false"/>
    </xf>
    <xf numFmtId="164" fontId="8" fillId="4" borderId="0" xfId="0" applyFont="true" applyBorder="false" applyAlignment="true" applyProtection="false">
      <alignment horizontal="center" vertical="bottom" textRotation="0" wrapText="false" indent="0" shrinkToFit="false"/>
      <protection locked="true" hidden="false"/>
    </xf>
    <xf numFmtId="164" fontId="8" fillId="5" borderId="0" xfId="0" applyFont="true" applyBorder="false" applyAlignment="true" applyProtection="false">
      <alignment horizontal="center" vertical="bottom" textRotation="0" wrapText="false" indent="0" shrinkToFit="false"/>
      <protection locked="true" hidden="false"/>
    </xf>
    <xf numFmtId="164" fontId="8" fillId="6" borderId="0" xfId="0" applyFont="true" applyBorder="false" applyAlignment="true" applyProtection="false">
      <alignment horizontal="center" vertical="bottom" textRotation="0" wrapText="false" indent="0" shrinkToFit="false"/>
      <protection locked="true" hidden="false"/>
    </xf>
    <xf numFmtId="164" fontId="9" fillId="4" borderId="0" xfId="0" applyFont="true" applyBorder="false" applyAlignment="true" applyProtection="false">
      <alignment horizontal="center" vertical="bottom" textRotation="0" wrapText="false" indent="0" shrinkToFit="false"/>
      <protection locked="true" hidden="false"/>
    </xf>
    <xf numFmtId="164" fontId="9" fillId="5" borderId="0" xfId="0" applyFont="true" applyBorder="false" applyAlignment="true" applyProtection="false">
      <alignment horizontal="center" vertical="bottom" textRotation="0" wrapText="false" indent="0" shrinkToFit="false"/>
      <protection locked="true" hidden="false"/>
    </xf>
    <xf numFmtId="164" fontId="9" fillId="6" borderId="0" xfId="0" applyFont="true" applyBorder="false" applyAlignment="true" applyProtection="false">
      <alignment horizontal="center" vertical="bottom" textRotation="0" wrapText="false" indent="0" shrinkToFit="false"/>
      <protection locked="true" hidden="false"/>
    </xf>
    <xf numFmtId="164" fontId="10" fillId="4" borderId="0" xfId="0" applyFont="true" applyBorder="false" applyAlignment="true" applyProtection="false">
      <alignment horizontal="center" vertical="bottom" textRotation="0" wrapText="false" indent="0" shrinkToFit="false"/>
      <protection locked="true" hidden="false"/>
    </xf>
    <xf numFmtId="164" fontId="11" fillId="5" borderId="0" xfId="0" applyFont="true" applyBorder="false" applyAlignment="true" applyProtection="false">
      <alignment horizontal="center" vertical="bottom" textRotation="0" wrapText="false" indent="0" shrinkToFit="false"/>
      <protection locked="true" hidden="false"/>
    </xf>
    <xf numFmtId="164" fontId="12" fillId="6"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2"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6" fontId="0" fillId="7" borderId="0" xfId="0" applyFont="fals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6" fontId="13" fillId="0" borderId="1" xfId="0" applyFont="true" applyBorder="true" applyAlignment="false" applyProtection="false">
      <alignment horizontal="general" vertical="bottom" textRotation="0" wrapText="false" indent="0" shrinkToFit="false"/>
      <protection locked="true" hidden="false"/>
    </xf>
    <xf numFmtId="166" fontId="13" fillId="7" borderId="1" xfId="0" applyFont="true" applyBorder="tru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5" fontId="0" fillId="7" borderId="0" xfId="0" applyFont="false" applyBorder="false" applyAlignment="false" applyProtection="false">
      <alignment horizontal="general" vertical="bottom"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9" fontId="0" fillId="7"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8" fontId="0" fillId="7"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CE6F1"/>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EDEDED"/>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74706"/>
      <rgbColor rgb="FF993366"/>
      <rgbColor rgb="FF1F4E78"/>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108"/>
  </cols>
  <sheetData>
    <row r="1" customFormat="false" ht="17.35" hidden="false" customHeight="false" outlineLevel="0" collapsed="false">
      <c r="B1" s="1" t="s">
        <v>0</v>
      </c>
    </row>
    <row r="2" customFormat="false" ht="15" hidden="false" customHeight="false" outlineLevel="0" collapsed="false">
      <c r="B2" s="2" t="s">
        <v>1</v>
      </c>
    </row>
    <row r="4" customFormat="false" ht="15" hidden="false" customHeight="false" outlineLevel="0" collapsed="false">
      <c r="B4" s="3" t="s">
        <v>2</v>
      </c>
    </row>
    <row r="5" customFormat="false" ht="35.05" hidden="false" customHeight="false" outlineLevel="0" collapsed="false">
      <c r="B5" s="4" t="s">
        <v>3</v>
      </c>
    </row>
    <row r="6" customFormat="false" ht="23.85" hidden="false" customHeight="false" outlineLevel="0" collapsed="false">
      <c r="B6" s="4" t="s">
        <v>4</v>
      </c>
    </row>
    <row r="7" customFormat="false" ht="46.25" hidden="false" customHeight="false" outlineLevel="0" collapsed="false">
      <c r="B7" s="4" t="s">
        <v>5</v>
      </c>
    </row>
    <row r="9" customFormat="false" ht="15" hidden="false" customHeight="false" outlineLevel="0" collapsed="false">
      <c r="B9" s="3" t="s">
        <v>6</v>
      </c>
    </row>
    <row r="10" customFormat="false" ht="46.25" hidden="false" customHeight="false" outlineLevel="0" collapsed="false">
      <c r="B10" s="4" t="s">
        <v>7</v>
      </c>
    </row>
    <row r="11" customFormat="false" ht="35.05" hidden="false" customHeight="false" outlineLevel="0" collapsed="false">
      <c r="B11" s="4" t="s">
        <v>8</v>
      </c>
    </row>
    <row r="12" customFormat="false" ht="23.85" hidden="false" customHeight="false" outlineLevel="0" collapsed="false">
      <c r="B12" s="4" t="s">
        <v>9</v>
      </c>
    </row>
    <row r="13" customFormat="false" ht="35.05" hidden="false" customHeight="false" outlineLevel="0" collapsed="false">
      <c r="B13" s="4" t="s">
        <v>10</v>
      </c>
    </row>
    <row r="14" customFormat="false" ht="23.85" hidden="false" customHeight="false" outlineLevel="0" collapsed="false">
      <c r="B14" s="4" t="s">
        <v>11</v>
      </c>
    </row>
    <row r="15" customFormat="false" ht="23.85" hidden="false" customHeight="false" outlineLevel="0" collapsed="false">
      <c r="B15" s="4" t="s">
        <v>12</v>
      </c>
    </row>
    <row r="17" customFormat="false" ht="15" hidden="false" customHeight="false" outlineLevel="0" collapsed="false">
      <c r="B17" s="3" t="s">
        <v>13</v>
      </c>
    </row>
    <row r="18" customFormat="false" ht="57.45" hidden="false" customHeight="false" outlineLevel="0" collapsed="false">
      <c r="B18" s="4" t="s">
        <v>14</v>
      </c>
    </row>
    <row r="20" customFormat="false" ht="15" hidden="false" customHeight="false" outlineLevel="0" collapsed="false">
      <c r="B20" s="3" t="s">
        <v>15</v>
      </c>
    </row>
    <row r="21" customFormat="false" ht="46.25" hidden="false" customHeight="false" outlineLevel="0" collapsed="false">
      <c r="B21" s="4" t="s">
        <v>16</v>
      </c>
    </row>
    <row r="23" customFormat="false" ht="15" hidden="false" customHeight="false" outlineLevel="0" collapsed="false">
      <c r="B23" s="3" t="s">
        <v>17</v>
      </c>
    </row>
    <row r="24" customFormat="false" ht="46.25" hidden="false" customHeight="false" outlineLevel="0" collapsed="false">
      <c r="B24" s="4" t="s">
        <v>18</v>
      </c>
    </row>
    <row r="25" customFormat="false" ht="15" hidden="false" customHeight="false" outlineLevel="0" collapsed="false">
      <c r="B25" s="4" t="s">
        <v>19</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0"/>
    <col collapsed="false" customWidth="true" hidden="false" outlineLevel="0" max="10" min="2" style="0" width="12"/>
  </cols>
  <sheetData>
    <row r="1" customFormat="false" ht="17.35" hidden="false" customHeight="false" outlineLevel="0" collapsed="false">
      <c r="A1" s="1" t="s">
        <v>20</v>
      </c>
    </row>
    <row r="2" customFormat="false" ht="15" hidden="false" customHeight="false" outlineLevel="0" collapsed="false">
      <c r="A2" s="2" t="s">
        <v>21</v>
      </c>
    </row>
    <row r="4" customFormat="false" ht="15" hidden="false" customHeight="false" outlineLevel="0" collapsed="false">
      <c r="A4" s="5" t="s">
        <v>22</v>
      </c>
      <c r="B4" s="6" t="s">
        <v>23</v>
      </c>
      <c r="C4" s="6" t="s">
        <v>24</v>
      </c>
      <c r="D4" s="6" t="s">
        <v>25</v>
      </c>
      <c r="E4" s="6" t="s">
        <v>26</v>
      </c>
      <c r="F4" s="6" t="s">
        <v>27</v>
      </c>
      <c r="G4" s="6" t="s">
        <v>28</v>
      </c>
      <c r="H4" s="6" t="s">
        <v>29</v>
      </c>
      <c r="I4" s="6" t="s">
        <v>30</v>
      </c>
      <c r="J4" s="6" t="s">
        <v>31</v>
      </c>
    </row>
    <row r="5" customFormat="false" ht="15" hidden="false" customHeight="false" outlineLevel="0" collapsed="false">
      <c r="B5" s="7" t="s">
        <v>32</v>
      </c>
      <c r="C5" s="7" t="s">
        <v>33</v>
      </c>
      <c r="D5" s="7" t="s">
        <v>34</v>
      </c>
      <c r="E5" s="7" t="s">
        <v>35</v>
      </c>
      <c r="F5" s="7" t="s">
        <v>36</v>
      </c>
      <c r="G5" s="7" t="s">
        <v>37</v>
      </c>
      <c r="H5" s="7" t="s">
        <v>38</v>
      </c>
      <c r="I5" s="7" t="s">
        <v>39</v>
      </c>
      <c r="J5" s="7" t="s">
        <v>40</v>
      </c>
    </row>
    <row r="6" customFormat="false" ht="15" hidden="false" customHeight="false" outlineLevel="0" collapsed="false">
      <c r="A6" s="8" t="s">
        <v>41</v>
      </c>
      <c r="B6" s="9"/>
      <c r="C6" s="9"/>
      <c r="D6" s="9"/>
      <c r="E6" s="9"/>
      <c r="F6" s="9"/>
      <c r="G6" s="9"/>
      <c r="H6" s="9"/>
      <c r="I6" s="9"/>
      <c r="J6" s="9"/>
    </row>
    <row r="7" customFormat="false" ht="15" hidden="false" customHeight="false" outlineLevel="0" collapsed="false">
      <c r="A7" s="10" t="s">
        <v>42</v>
      </c>
      <c r="B7" s="11" t="n">
        <v>0.095</v>
      </c>
      <c r="C7" s="11" t="n">
        <v>0.06</v>
      </c>
      <c r="D7" s="11" t="n">
        <v>0.055</v>
      </c>
      <c r="E7" s="11" t="n">
        <v>0.05</v>
      </c>
      <c r="F7" s="11" t="n">
        <v>0.05</v>
      </c>
      <c r="G7" s="11" t="n">
        <v>0.055</v>
      </c>
      <c r="H7" s="11" t="n">
        <v>0.05</v>
      </c>
      <c r="I7" s="11" t="n">
        <v>0.05</v>
      </c>
      <c r="J7" s="11" t="n">
        <v>0.05</v>
      </c>
    </row>
    <row r="8" customFormat="false" ht="15" hidden="false" customHeight="false" outlineLevel="0" collapsed="false">
      <c r="A8" s="10" t="s">
        <v>43</v>
      </c>
      <c r="B8" s="11" t="n">
        <v>0.11</v>
      </c>
      <c r="C8" s="11" t="n">
        <v>0.11</v>
      </c>
      <c r="D8" s="11" t="n">
        <v>0.105</v>
      </c>
      <c r="E8" s="11" t="n">
        <v>0.105</v>
      </c>
      <c r="F8" s="11" t="n">
        <v>0.105</v>
      </c>
      <c r="G8" s="11" t="n">
        <v>0.1</v>
      </c>
      <c r="H8" s="11" t="n">
        <v>0.1</v>
      </c>
      <c r="I8" s="11" t="n">
        <v>0.1</v>
      </c>
      <c r="J8" s="11" t="n">
        <v>0.1</v>
      </c>
    </row>
    <row r="10" customFormat="false" ht="15" hidden="false" customHeight="false" outlineLevel="0" collapsed="false">
      <c r="A10" s="8" t="s">
        <v>44</v>
      </c>
      <c r="B10" s="9"/>
      <c r="C10" s="9"/>
      <c r="D10" s="9"/>
      <c r="E10" s="9"/>
      <c r="F10" s="9"/>
      <c r="G10" s="9"/>
      <c r="H10" s="9"/>
      <c r="I10" s="9"/>
      <c r="J10" s="9"/>
    </row>
    <row r="11" customFormat="false" ht="15" hidden="false" customHeight="false" outlineLevel="0" collapsed="false">
      <c r="A11" s="10" t="s">
        <v>45</v>
      </c>
      <c r="B11" s="11" t="n">
        <v>0.364</v>
      </c>
      <c r="C11" s="11" t="n">
        <v>0.385</v>
      </c>
      <c r="D11" s="11" t="n">
        <v>0.36</v>
      </c>
      <c r="E11" s="11" t="n">
        <v>0.355</v>
      </c>
      <c r="F11" s="11" t="n">
        <v>0.365</v>
      </c>
      <c r="G11" s="11" t="n">
        <v>0.387</v>
      </c>
      <c r="H11" s="11" t="n">
        <v>0.362</v>
      </c>
      <c r="I11" s="11" t="n">
        <v>0.357</v>
      </c>
      <c r="J11" s="11" t="n">
        <v>0.367</v>
      </c>
    </row>
    <row r="12" customFormat="false" ht="15" hidden="false" customHeight="false" outlineLevel="0" collapsed="false">
      <c r="A12" s="10" t="s">
        <v>46</v>
      </c>
      <c r="B12" s="11" t="n">
        <v>0.755</v>
      </c>
      <c r="C12" s="11" t="n">
        <v>0.76</v>
      </c>
      <c r="D12" s="11" t="n">
        <v>0.76</v>
      </c>
      <c r="E12" s="11" t="n">
        <v>0.762</v>
      </c>
      <c r="F12" s="11" t="n">
        <v>0.763</v>
      </c>
      <c r="G12" s="11" t="n">
        <v>0.765</v>
      </c>
      <c r="H12" s="11" t="n">
        <v>0.765</v>
      </c>
      <c r="I12" s="11" t="n">
        <v>0.767</v>
      </c>
      <c r="J12" s="11" t="n">
        <v>0.768</v>
      </c>
    </row>
    <row r="14" customFormat="false" ht="15" hidden="false" customHeight="false" outlineLevel="0" collapsed="false">
      <c r="A14" s="8" t="s">
        <v>47</v>
      </c>
      <c r="B14" s="9"/>
      <c r="C14" s="9"/>
      <c r="D14" s="9"/>
      <c r="E14" s="9"/>
      <c r="F14" s="9"/>
      <c r="G14" s="9"/>
      <c r="H14" s="9"/>
      <c r="I14" s="9"/>
      <c r="J14" s="9"/>
    </row>
    <row r="15" customFormat="false" ht="15" hidden="false" customHeight="false" outlineLevel="0" collapsed="false">
      <c r="A15" s="10" t="s">
        <v>48</v>
      </c>
      <c r="B15" s="11" t="n">
        <v>0.32</v>
      </c>
      <c r="C15" s="11" t="n">
        <v>0.2</v>
      </c>
      <c r="D15" s="11" t="n">
        <v>0.15</v>
      </c>
      <c r="E15" s="11" t="n">
        <v>0.12</v>
      </c>
      <c r="F15" s="11" t="n">
        <v>0.12</v>
      </c>
      <c r="G15" s="11" t="n">
        <v>0.1</v>
      </c>
      <c r="H15" s="11" t="n">
        <v>0.09</v>
      </c>
      <c r="I15" s="11" t="n">
        <v>0.08</v>
      </c>
      <c r="J15" s="11" t="n">
        <v>0.08</v>
      </c>
    </row>
    <row r="16" customFormat="false" ht="15" hidden="false" customHeight="false" outlineLevel="0" collapsed="false">
      <c r="A16" s="10" t="s">
        <v>49</v>
      </c>
      <c r="B16" s="11" t="n">
        <v>0.07</v>
      </c>
      <c r="C16" s="11" t="n">
        <v>0.08</v>
      </c>
      <c r="D16" s="11" t="n">
        <v>0.08</v>
      </c>
      <c r="E16" s="11" t="n">
        <v>0.07</v>
      </c>
      <c r="F16" s="11" t="n">
        <v>0.07</v>
      </c>
      <c r="G16" s="11" t="n">
        <v>0.07</v>
      </c>
      <c r="H16" s="11" t="n">
        <v>0.07</v>
      </c>
      <c r="I16" s="11" t="n">
        <v>0.06</v>
      </c>
      <c r="J16" s="11" t="n">
        <v>0.06</v>
      </c>
    </row>
    <row r="18" customFormat="false" ht="15" hidden="false" customHeight="false" outlineLevel="0" collapsed="false">
      <c r="A18" s="8" t="s">
        <v>50</v>
      </c>
      <c r="B18" s="9"/>
      <c r="C18" s="9"/>
      <c r="D18" s="9"/>
      <c r="E18" s="9"/>
      <c r="F18" s="9"/>
      <c r="G18" s="9"/>
      <c r="H18" s="9"/>
      <c r="I18" s="9"/>
      <c r="J18" s="9"/>
    </row>
    <row r="19" customFormat="false" ht="15" hidden="false" customHeight="false" outlineLevel="0" collapsed="false">
      <c r="A19" s="10" t="s">
        <v>51</v>
      </c>
      <c r="B19" s="12" t="n">
        <v>150</v>
      </c>
      <c r="C19" s="12" t="n">
        <v>150</v>
      </c>
      <c r="D19" s="12" t="n">
        <v>150</v>
      </c>
      <c r="E19" s="12" t="n">
        <v>150</v>
      </c>
      <c r="F19" s="12" t="n">
        <v>150</v>
      </c>
      <c r="G19" s="12" t="n">
        <v>150</v>
      </c>
      <c r="H19" s="12" t="n">
        <v>150</v>
      </c>
      <c r="I19" s="12" t="n">
        <v>150</v>
      </c>
      <c r="J19" s="12" t="n">
        <v>150</v>
      </c>
    </row>
    <row r="20" customFormat="false" ht="15" hidden="false" customHeight="false" outlineLevel="0" collapsed="false">
      <c r="A20" s="10" t="s">
        <v>52</v>
      </c>
      <c r="B20" s="11" t="n">
        <v>0.18</v>
      </c>
      <c r="C20" s="11" t="n">
        <v>0.18</v>
      </c>
      <c r="D20" s="11" t="n">
        <v>0.18</v>
      </c>
      <c r="E20" s="11" t="n">
        <v>0.182</v>
      </c>
      <c r="F20" s="11" t="n">
        <v>0.182</v>
      </c>
      <c r="G20" s="11" t="n">
        <v>0.182</v>
      </c>
      <c r="H20" s="11" t="n">
        <v>0.183</v>
      </c>
      <c r="I20" s="11" t="n">
        <v>0.183</v>
      </c>
      <c r="J20" s="11" t="n">
        <v>0.183</v>
      </c>
    </row>
    <row r="21" customFormat="false" ht="15" hidden="false" customHeight="false" outlineLevel="0" collapsed="false">
      <c r="A21" s="10" t="s">
        <v>53</v>
      </c>
      <c r="B21" s="13" t="n">
        <v>-0.005</v>
      </c>
      <c r="C21" s="13" t="n">
        <v>-0.005</v>
      </c>
      <c r="D21" s="13" t="n">
        <v>-0.005</v>
      </c>
      <c r="E21" s="13" t="n">
        <v>-0.005</v>
      </c>
      <c r="F21" s="13" t="n">
        <v>-0.005</v>
      </c>
      <c r="G21" s="13" t="n">
        <v>-0.005</v>
      </c>
      <c r="H21" s="13" t="n">
        <v>-0.005</v>
      </c>
      <c r="I21" s="13" t="n">
        <v>-0.005</v>
      </c>
      <c r="J21" s="13" t="n">
        <v>-0.005</v>
      </c>
    </row>
    <row r="22" customFormat="false" ht="15" hidden="false" customHeight="false" outlineLevel="0" collapsed="false">
      <c r="A22" s="10" t="s">
        <v>54</v>
      </c>
      <c r="B22" s="14" t="n">
        <v>55</v>
      </c>
      <c r="C22" s="14" t="n">
        <v>55</v>
      </c>
      <c r="D22" s="14" t="n">
        <v>55</v>
      </c>
      <c r="E22" s="14" t="n">
        <v>55</v>
      </c>
      <c r="F22" s="14" t="n">
        <v>55</v>
      </c>
      <c r="G22" s="14" t="n">
        <v>55</v>
      </c>
      <c r="H22" s="14" t="n">
        <v>55</v>
      </c>
      <c r="I22" s="14" t="n">
        <v>55</v>
      </c>
      <c r="J22" s="14" t="n">
        <v>55</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4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0"/>
    <col collapsed="false" customWidth="true" hidden="false" outlineLevel="0" max="26" min="2" style="0" width="11.5"/>
  </cols>
  <sheetData>
    <row r="1" customFormat="false" ht="17.35" hidden="false" customHeight="false" outlineLevel="0" collapsed="false">
      <c r="A1" s="1" t="s">
        <v>55</v>
      </c>
    </row>
    <row r="2" customFormat="false" ht="15" hidden="false" customHeight="false" outlineLevel="0" collapsed="false">
      <c r="A2" s="2" t="s">
        <v>56</v>
      </c>
    </row>
    <row r="4" customFormat="false" ht="15" hidden="false" customHeight="false" outlineLevel="0" collapsed="false">
      <c r="B4" s="15" t="s">
        <v>57</v>
      </c>
      <c r="C4" s="15" t="s">
        <v>58</v>
      </c>
      <c r="D4" s="15" t="s">
        <v>59</v>
      </c>
      <c r="E4" s="15" t="s">
        <v>60</v>
      </c>
      <c r="F4" s="16" t="s">
        <v>61</v>
      </c>
      <c r="G4" s="15" t="s">
        <v>62</v>
      </c>
      <c r="H4" s="15" t="s">
        <v>63</v>
      </c>
      <c r="I4" s="15" t="s">
        <v>64</v>
      </c>
      <c r="J4" s="15" t="s">
        <v>65</v>
      </c>
      <c r="K4" s="16" t="s">
        <v>66</v>
      </c>
      <c r="L4" s="15" t="s">
        <v>67</v>
      </c>
      <c r="M4" s="15" t="s">
        <v>68</v>
      </c>
      <c r="N4" s="15" t="s">
        <v>69</v>
      </c>
      <c r="O4" s="17" t="s">
        <v>23</v>
      </c>
      <c r="P4" s="16" t="s">
        <v>70</v>
      </c>
      <c r="Q4" s="17" t="s">
        <v>24</v>
      </c>
      <c r="R4" s="17" t="s">
        <v>25</v>
      </c>
      <c r="S4" s="17" t="s">
        <v>26</v>
      </c>
      <c r="T4" s="17" t="s">
        <v>27</v>
      </c>
      <c r="U4" s="16" t="s">
        <v>71</v>
      </c>
      <c r="V4" s="17" t="s">
        <v>28</v>
      </c>
      <c r="W4" s="17" t="s">
        <v>29</v>
      </c>
      <c r="X4" s="17" t="s">
        <v>30</v>
      </c>
      <c r="Y4" s="17" t="s">
        <v>31</v>
      </c>
      <c r="Z4" s="16" t="s">
        <v>72</v>
      </c>
    </row>
    <row r="5" customFormat="false" ht="15" hidden="false" customHeight="false" outlineLevel="0" collapsed="false">
      <c r="B5" s="18" t="s">
        <v>73</v>
      </c>
      <c r="C5" s="18" t="s">
        <v>74</v>
      </c>
      <c r="D5" s="18" t="s">
        <v>75</v>
      </c>
      <c r="E5" s="18" t="s">
        <v>76</v>
      </c>
      <c r="F5" s="19" t="s">
        <v>77</v>
      </c>
      <c r="G5" s="18" t="s">
        <v>78</v>
      </c>
      <c r="H5" s="18" t="s">
        <v>79</v>
      </c>
      <c r="I5" s="18" t="s">
        <v>80</v>
      </c>
      <c r="J5" s="18" t="s">
        <v>81</v>
      </c>
      <c r="K5" s="19" t="s">
        <v>77</v>
      </c>
      <c r="L5" s="18" t="s">
        <v>82</v>
      </c>
      <c r="M5" s="18" t="s">
        <v>83</v>
      </c>
      <c r="N5" s="18" t="s">
        <v>84</v>
      </c>
      <c r="O5" s="20" t="s">
        <v>32</v>
      </c>
      <c r="P5" s="19" t="s">
        <v>77</v>
      </c>
      <c r="Q5" s="20" t="s">
        <v>33</v>
      </c>
      <c r="R5" s="20" t="s">
        <v>34</v>
      </c>
      <c r="S5" s="20" t="s">
        <v>35</v>
      </c>
      <c r="T5" s="20" t="s">
        <v>36</v>
      </c>
      <c r="U5" s="19" t="s">
        <v>77</v>
      </c>
      <c r="V5" s="20" t="s">
        <v>37</v>
      </c>
      <c r="W5" s="20" t="s">
        <v>38</v>
      </c>
      <c r="X5" s="20" t="s">
        <v>39</v>
      </c>
      <c r="Y5" s="20" t="s">
        <v>40</v>
      </c>
      <c r="Z5" s="19" t="s">
        <v>77</v>
      </c>
    </row>
    <row r="6" customFormat="false" ht="15" hidden="false" customHeight="false" outlineLevel="0" collapsed="false">
      <c r="B6" s="21" t="s">
        <v>85</v>
      </c>
      <c r="C6" s="21" t="s">
        <v>85</v>
      </c>
      <c r="D6" s="21" t="s">
        <v>85</v>
      </c>
      <c r="E6" s="21" t="s">
        <v>85</v>
      </c>
      <c r="F6" s="22" t="s">
        <v>85</v>
      </c>
      <c r="G6" s="21" t="s">
        <v>85</v>
      </c>
      <c r="H6" s="21" t="s">
        <v>85</v>
      </c>
      <c r="I6" s="21" t="s">
        <v>85</v>
      </c>
      <c r="J6" s="21" t="s">
        <v>85</v>
      </c>
      <c r="K6" s="22" t="s">
        <v>85</v>
      </c>
      <c r="L6" s="21" t="s">
        <v>85</v>
      </c>
      <c r="M6" s="21" t="s">
        <v>85</v>
      </c>
      <c r="N6" s="21" t="s">
        <v>85</v>
      </c>
      <c r="O6" s="23" t="s">
        <v>86</v>
      </c>
      <c r="P6" s="22" t="s">
        <v>87</v>
      </c>
      <c r="Q6" s="23" t="s">
        <v>86</v>
      </c>
      <c r="R6" s="23" t="s">
        <v>86</v>
      </c>
      <c r="S6" s="23" t="s">
        <v>86</v>
      </c>
      <c r="T6" s="23" t="s">
        <v>86</v>
      </c>
      <c r="U6" s="22" t="s">
        <v>86</v>
      </c>
      <c r="V6" s="23" t="s">
        <v>86</v>
      </c>
      <c r="W6" s="23" t="s">
        <v>86</v>
      </c>
      <c r="X6" s="23" t="s">
        <v>86</v>
      </c>
      <c r="Y6" s="23" t="s">
        <v>86</v>
      </c>
      <c r="Z6" s="22" t="s">
        <v>86</v>
      </c>
    </row>
    <row r="8" customFormat="false" ht="15" hidden="false" customHeight="false" outlineLevel="0" collapsed="false">
      <c r="A8" s="8" t="s">
        <v>88</v>
      </c>
      <c r="B8" s="9"/>
      <c r="C8" s="9"/>
      <c r="D8" s="9"/>
      <c r="E8" s="9"/>
      <c r="F8" s="9"/>
      <c r="G8" s="9"/>
      <c r="H8" s="9"/>
      <c r="I8" s="9"/>
      <c r="J8" s="9"/>
      <c r="K8" s="9"/>
      <c r="L8" s="9"/>
      <c r="M8" s="9"/>
      <c r="N8" s="9"/>
      <c r="O8" s="9"/>
      <c r="P8" s="9"/>
      <c r="Q8" s="9"/>
      <c r="R8" s="9"/>
      <c r="S8" s="9"/>
      <c r="T8" s="9"/>
      <c r="U8" s="9"/>
      <c r="V8" s="9"/>
      <c r="W8" s="9"/>
      <c r="X8" s="9"/>
      <c r="Y8" s="9"/>
      <c r="Z8" s="9"/>
    </row>
    <row r="9" customFormat="false" ht="15" hidden="false" customHeight="false" outlineLevel="0" collapsed="false">
      <c r="A9" s="24" t="s">
        <v>89</v>
      </c>
      <c r="B9" s="25" t="n">
        <v>96458</v>
      </c>
      <c r="C9" s="25" t="n">
        <v>66886</v>
      </c>
      <c r="D9" s="25" t="n">
        <v>61564</v>
      </c>
      <c r="E9" s="25" t="n">
        <v>69958</v>
      </c>
      <c r="F9" s="26" t="n">
        <f aca="false">SUM(B9:E9)</f>
        <v>294866</v>
      </c>
      <c r="G9" s="25" t="n">
        <v>97960</v>
      </c>
      <c r="H9" s="25" t="n">
        <v>68714</v>
      </c>
      <c r="I9" s="25" t="n">
        <v>66613</v>
      </c>
      <c r="J9" s="25" t="n">
        <v>73716</v>
      </c>
      <c r="K9" s="26" t="n">
        <f aca="false">SUM(G9:J9)</f>
        <v>307003</v>
      </c>
      <c r="L9" s="25" t="n">
        <v>113743</v>
      </c>
      <c r="M9" s="25" t="n">
        <v>80208</v>
      </c>
      <c r="N9" s="25" t="n">
        <v>78678</v>
      </c>
      <c r="O9" s="25" t="n">
        <f aca="false">J9*(1+Assumptions!B7)</f>
        <v>80719.02</v>
      </c>
      <c r="P9" s="26" t="n">
        <f aca="false">SUM(L9:O9)</f>
        <v>353348.02</v>
      </c>
      <c r="Q9" s="25" t="n">
        <f aca="false">L9*(1+Assumptions!C7)</f>
        <v>120567.58</v>
      </c>
      <c r="R9" s="25" t="n">
        <f aca="false">M9*(1+Assumptions!D7)</f>
        <v>84619.44</v>
      </c>
      <c r="S9" s="25" t="n">
        <f aca="false">N9*(1+Assumptions!E7)</f>
        <v>82611.9</v>
      </c>
      <c r="T9" s="25" t="n">
        <f aca="false">O9*(1+Assumptions!F7)</f>
        <v>84754.971</v>
      </c>
      <c r="U9" s="26" t="n">
        <f aca="false">SUM(Q9:T9)</f>
        <v>372553.891</v>
      </c>
      <c r="V9" s="25" t="n">
        <f aca="false">Q9*(1+Assumptions!G7)</f>
        <v>127198.7969</v>
      </c>
      <c r="W9" s="25" t="n">
        <f aca="false">R9*(1+Assumptions!H7)</f>
        <v>88850.412</v>
      </c>
      <c r="X9" s="25" t="n">
        <f aca="false">S9*(1+Assumptions!I7)</f>
        <v>86742.495</v>
      </c>
      <c r="Y9" s="25" t="n">
        <f aca="false">T9*(1+Assumptions!J7)</f>
        <v>88992.71955</v>
      </c>
      <c r="Z9" s="26" t="n">
        <f aca="false">SUM(V9:Y9)</f>
        <v>391784.42345</v>
      </c>
    </row>
    <row r="10" customFormat="false" ht="15" hidden="false" customHeight="false" outlineLevel="0" collapsed="false">
      <c r="A10" s="24" t="s">
        <v>90</v>
      </c>
      <c r="B10" s="25" t="n">
        <v>23117</v>
      </c>
      <c r="C10" s="25" t="n">
        <v>23867</v>
      </c>
      <c r="D10" s="25" t="n">
        <v>24213</v>
      </c>
      <c r="E10" s="25" t="n">
        <v>24972</v>
      </c>
      <c r="F10" s="26" t="n">
        <f aca="false">SUM(B10:E10)</f>
        <v>96169</v>
      </c>
      <c r="G10" s="25" t="n">
        <v>26340</v>
      </c>
      <c r="H10" s="25" t="n">
        <v>26645</v>
      </c>
      <c r="I10" s="25" t="n">
        <v>27423</v>
      </c>
      <c r="J10" s="25" t="n">
        <v>28750</v>
      </c>
      <c r="K10" s="26" t="n">
        <f aca="false">SUM(G10:J10)</f>
        <v>109158</v>
      </c>
      <c r="L10" s="25" t="n">
        <v>30013</v>
      </c>
      <c r="M10" s="25" t="n">
        <v>30976</v>
      </c>
      <c r="N10" s="25" t="n">
        <v>30739</v>
      </c>
      <c r="O10" s="25" t="n">
        <f aca="false">J10*(1+Assumptions!B8)</f>
        <v>31912.5</v>
      </c>
      <c r="P10" s="26" t="n">
        <f aca="false">SUM(L10:O10)</f>
        <v>123640.5</v>
      </c>
      <c r="Q10" s="25" t="n">
        <f aca="false">L10*(1+Assumptions!C8)</f>
        <v>33314.43</v>
      </c>
      <c r="R10" s="25" t="n">
        <f aca="false">M10*(1+Assumptions!D8)</f>
        <v>34228.48</v>
      </c>
      <c r="S10" s="25" t="n">
        <f aca="false">N10*(1+Assumptions!E8)</f>
        <v>33966.595</v>
      </c>
      <c r="T10" s="25" t="n">
        <f aca="false">O10*(1+Assumptions!F8)</f>
        <v>35263.3125</v>
      </c>
      <c r="U10" s="26" t="n">
        <f aca="false">SUM(Q10:T10)</f>
        <v>136772.8175</v>
      </c>
      <c r="V10" s="25" t="n">
        <f aca="false">Q10*(1+Assumptions!G8)</f>
        <v>36645.873</v>
      </c>
      <c r="W10" s="25" t="n">
        <f aca="false">R10*(1+Assumptions!H8)</f>
        <v>37651.328</v>
      </c>
      <c r="X10" s="25" t="n">
        <f aca="false">S10*(1+Assumptions!I8)</f>
        <v>37363.2545</v>
      </c>
      <c r="Y10" s="25" t="n">
        <f aca="false">T10*(1+Assumptions!J8)</f>
        <v>38789.64375</v>
      </c>
      <c r="Z10" s="26" t="n">
        <f aca="false">SUM(V10:Y10)</f>
        <v>150450.09925</v>
      </c>
    </row>
    <row r="11" customFormat="false" ht="15" hidden="false" customHeight="false" outlineLevel="0" collapsed="false">
      <c r="A11" s="27" t="s">
        <v>91</v>
      </c>
      <c r="B11" s="28" t="n">
        <f aca="false">B9+B10</f>
        <v>119575</v>
      </c>
      <c r="C11" s="28" t="n">
        <f aca="false">C9+C10</f>
        <v>90753</v>
      </c>
      <c r="D11" s="28" t="n">
        <f aca="false">D9+D10</f>
        <v>85777</v>
      </c>
      <c r="E11" s="28" t="n">
        <f aca="false">E9+E10</f>
        <v>94930</v>
      </c>
      <c r="F11" s="29" t="n">
        <f aca="false">F9+F10</f>
        <v>391035</v>
      </c>
      <c r="G11" s="28" t="n">
        <f aca="false">G9+G10</f>
        <v>124300</v>
      </c>
      <c r="H11" s="28" t="n">
        <f aca="false">H9+H10</f>
        <v>95359</v>
      </c>
      <c r="I11" s="28" t="n">
        <f aca="false">I9+I10</f>
        <v>94036</v>
      </c>
      <c r="J11" s="28" t="n">
        <f aca="false">J9+J10</f>
        <v>102466</v>
      </c>
      <c r="K11" s="29" t="n">
        <f aca="false">K9+K10</f>
        <v>416161</v>
      </c>
      <c r="L11" s="28" t="n">
        <f aca="false">L9+L10</f>
        <v>143756</v>
      </c>
      <c r="M11" s="28" t="n">
        <f aca="false">M9+M10</f>
        <v>111184</v>
      </c>
      <c r="N11" s="28" t="n">
        <f aca="false">N9+N10</f>
        <v>109417</v>
      </c>
      <c r="O11" s="28" t="n">
        <f aca="false">O9+O10</f>
        <v>112631.52</v>
      </c>
      <c r="P11" s="29" t="n">
        <f aca="false">P9+P10</f>
        <v>476988.52</v>
      </c>
      <c r="Q11" s="28" t="n">
        <f aca="false">Q9+Q10</f>
        <v>153882.01</v>
      </c>
      <c r="R11" s="28" t="n">
        <f aca="false">R9+R10</f>
        <v>118847.92</v>
      </c>
      <c r="S11" s="28" t="n">
        <f aca="false">S9+S10</f>
        <v>116578.495</v>
      </c>
      <c r="T11" s="28" t="n">
        <f aca="false">T9+T10</f>
        <v>120018.2835</v>
      </c>
      <c r="U11" s="29" t="n">
        <f aca="false">U9+U10</f>
        <v>509326.7085</v>
      </c>
      <c r="V11" s="28" t="n">
        <f aca="false">V9+V10</f>
        <v>163844.6699</v>
      </c>
      <c r="W11" s="28" t="n">
        <f aca="false">W9+W10</f>
        <v>126501.74</v>
      </c>
      <c r="X11" s="28" t="n">
        <f aca="false">X9+X10</f>
        <v>124105.7495</v>
      </c>
      <c r="Y11" s="28" t="n">
        <f aca="false">Y9+Y10</f>
        <v>127782.3633</v>
      </c>
      <c r="Z11" s="29" t="n">
        <f aca="false">Z9+Z10</f>
        <v>542234.5227</v>
      </c>
    </row>
    <row r="12" customFormat="false" ht="15" hidden="false" customHeight="false" outlineLevel="0" collapsed="false">
      <c r="A12" s="0" t="s">
        <v>92</v>
      </c>
      <c r="B12" s="30"/>
      <c r="C12" s="30"/>
      <c r="D12" s="30"/>
      <c r="E12" s="30"/>
      <c r="F12" s="31"/>
      <c r="G12" s="30" t="n">
        <f aca="false">G11/B11-1</f>
        <v>0.0395149487769182</v>
      </c>
      <c r="H12" s="30" t="n">
        <f aca="false">H11/C11-1</f>
        <v>0.0507531431467829</v>
      </c>
      <c r="I12" s="30" t="n">
        <f aca="false">I11/D11-1</f>
        <v>0.0962845518029309</v>
      </c>
      <c r="J12" s="30" t="n">
        <f aca="false">J11/E11-1</f>
        <v>0.0793848098598968</v>
      </c>
      <c r="K12" s="31" t="n">
        <f aca="false">K11/F11-1</f>
        <v>0.0642551178283275</v>
      </c>
      <c r="L12" s="30" t="n">
        <f aca="false">L11/G11-1</f>
        <v>0.156524537409493</v>
      </c>
      <c r="M12" s="30" t="n">
        <f aca="false">M11/H11-1</f>
        <v>0.16595182415923</v>
      </c>
      <c r="N12" s="30" t="n">
        <f aca="false">N11/I11-1</f>
        <v>0.163565017652814</v>
      </c>
      <c r="O12" s="30" t="n">
        <f aca="false">O11/J11-1</f>
        <v>0.0992087131341128</v>
      </c>
      <c r="P12" s="31" t="n">
        <f aca="false">P11/K11-1</f>
        <v>0.146163431941004</v>
      </c>
      <c r="Q12" s="30" t="n">
        <f aca="false">Q11/L11-1</f>
        <v>0.0704388686385264</v>
      </c>
      <c r="R12" s="30" t="n">
        <f aca="false">R11/M11-1</f>
        <v>0.0689300618794069</v>
      </c>
      <c r="S12" s="30" t="n">
        <f aca="false">S11/N11-1</f>
        <v>0.0654513923796121</v>
      </c>
      <c r="T12" s="30" t="n">
        <f aca="false">T11/O11-1</f>
        <v>0.0655834485763842</v>
      </c>
      <c r="U12" s="31" t="n">
        <f aca="false">U11/P11-1</f>
        <v>0.0677965761104691</v>
      </c>
      <c r="V12" s="30" t="n">
        <f aca="false">V11/Q11-1</f>
        <v>0.0647422002091083</v>
      </c>
      <c r="W12" s="30" t="n">
        <f aca="false">W11/R11-1</f>
        <v>0.0644001173937248</v>
      </c>
      <c r="X12" s="30" t="n">
        <f aca="false">X11/S11-1</f>
        <v>0.0645681221051961</v>
      </c>
      <c r="Y12" s="30" t="n">
        <f aca="false">Y11/T11-1</f>
        <v>0.0646908085466829</v>
      </c>
      <c r="Z12" s="31" t="n">
        <f aca="false">Z11/U11-1</f>
        <v>0.0646104232328906</v>
      </c>
    </row>
    <row r="13" customFormat="false" ht="15" hidden="false" customHeight="false" outlineLevel="0" collapsed="false">
      <c r="F13" s="32"/>
      <c r="K13" s="32"/>
      <c r="P13" s="32"/>
      <c r="U13" s="32"/>
      <c r="Z13" s="32"/>
    </row>
    <row r="14" customFormat="false" ht="15" hidden="false" customHeight="false" outlineLevel="0" collapsed="false">
      <c r="A14" s="8" t="s">
        <v>93</v>
      </c>
      <c r="B14" s="9"/>
      <c r="C14" s="9"/>
      <c r="D14" s="9"/>
      <c r="E14" s="9"/>
      <c r="F14" s="9"/>
      <c r="G14" s="9"/>
      <c r="H14" s="9"/>
      <c r="I14" s="9"/>
      <c r="J14" s="9"/>
      <c r="K14" s="9"/>
      <c r="L14" s="9"/>
      <c r="M14" s="9"/>
      <c r="N14" s="9"/>
      <c r="O14" s="9"/>
      <c r="P14" s="9"/>
      <c r="Q14" s="9"/>
      <c r="R14" s="9"/>
      <c r="S14" s="9"/>
      <c r="T14" s="9"/>
      <c r="U14" s="9"/>
      <c r="V14" s="9"/>
      <c r="W14" s="9"/>
      <c r="X14" s="9"/>
      <c r="Y14" s="9"/>
      <c r="Z14" s="9"/>
    </row>
    <row r="15" customFormat="false" ht="15" hidden="false" customHeight="false" outlineLevel="0" collapsed="false">
      <c r="A15" s="24" t="s">
        <v>89</v>
      </c>
      <c r="B15" s="25" t="n">
        <v>58440</v>
      </c>
      <c r="C15" s="25" t="n">
        <v>42424</v>
      </c>
      <c r="D15" s="25" t="n">
        <v>39803</v>
      </c>
      <c r="E15" s="25" t="n">
        <v>44566</v>
      </c>
      <c r="F15" s="26" t="n">
        <f aca="false">SUM(B15:E15)</f>
        <v>185233</v>
      </c>
      <c r="G15" s="25" t="n">
        <v>59447</v>
      </c>
      <c r="H15" s="25" t="n">
        <v>44030</v>
      </c>
      <c r="I15" s="25" t="n">
        <v>43620</v>
      </c>
      <c r="J15" s="25" t="n">
        <v>47019</v>
      </c>
      <c r="K15" s="26" t="n">
        <f aca="false">SUM(G15:J15)</f>
        <v>194116</v>
      </c>
      <c r="L15" s="25" t="n">
        <v>67478</v>
      </c>
      <c r="M15" s="25" t="n">
        <v>49179</v>
      </c>
      <c r="N15" s="25" t="n">
        <v>47153</v>
      </c>
      <c r="O15" s="25" t="n">
        <f aca="false">O9*(1-Assumptions!B11)</f>
        <v>51337.29672</v>
      </c>
      <c r="P15" s="26" t="n">
        <f aca="false">SUM(L15:O15)</f>
        <v>215147.29672</v>
      </c>
      <c r="Q15" s="25" t="n">
        <f aca="false">Q9*(1-Assumptions!C11)</f>
        <v>74149.0617</v>
      </c>
      <c r="R15" s="25" t="n">
        <f aca="false">R9*(1-Assumptions!D11)</f>
        <v>54156.4416</v>
      </c>
      <c r="S15" s="25" t="n">
        <f aca="false">S9*(1-Assumptions!E11)</f>
        <v>53284.6755</v>
      </c>
      <c r="T15" s="25" t="n">
        <f aca="false">T9*(1-Assumptions!F11)</f>
        <v>53819.406585</v>
      </c>
      <c r="U15" s="26" t="n">
        <f aca="false">SUM(Q15:T15)</f>
        <v>235409.585385</v>
      </c>
      <c r="V15" s="25" t="n">
        <f aca="false">V9*(1-Assumptions!G11)</f>
        <v>77972.8624997</v>
      </c>
      <c r="W15" s="25" t="n">
        <f aca="false">W9*(1-Assumptions!H11)</f>
        <v>56686.562856</v>
      </c>
      <c r="X15" s="25" t="n">
        <f aca="false">X9*(1-Assumptions!I11)</f>
        <v>55775.424285</v>
      </c>
      <c r="Y15" s="25" t="n">
        <f aca="false">Y9*(1-Assumptions!J11)</f>
        <v>56332.39147515</v>
      </c>
      <c r="Z15" s="26" t="n">
        <f aca="false">SUM(V15:Y15)</f>
        <v>246767.24111585</v>
      </c>
    </row>
    <row r="16" customFormat="false" ht="15" hidden="false" customHeight="false" outlineLevel="0" collapsed="false">
      <c r="A16" s="24" t="s">
        <v>90</v>
      </c>
      <c r="B16" s="25" t="n">
        <v>6280</v>
      </c>
      <c r="C16" s="25" t="n">
        <v>6058</v>
      </c>
      <c r="D16" s="25" t="n">
        <v>6296</v>
      </c>
      <c r="E16" s="25" t="n">
        <v>6485</v>
      </c>
      <c r="F16" s="26" t="n">
        <f aca="false">SUM(B16:E16)</f>
        <v>25119</v>
      </c>
      <c r="G16" s="25" t="n">
        <v>6578</v>
      </c>
      <c r="H16" s="25" t="n">
        <v>6462</v>
      </c>
      <c r="I16" s="25" t="n">
        <v>6698</v>
      </c>
      <c r="J16" s="25" t="n">
        <v>7106</v>
      </c>
      <c r="K16" s="26" t="n">
        <f aca="false">SUM(G16:J16)</f>
        <v>26844</v>
      </c>
      <c r="L16" s="25" t="n">
        <v>7047</v>
      </c>
      <c r="M16" s="25" t="n">
        <v>7224</v>
      </c>
      <c r="N16" s="25" t="n">
        <v>7494</v>
      </c>
      <c r="O16" s="25" t="n">
        <f aca="false">O10*(1-Assumptions!B12)</f>
        <v>7818.5625</v>
      </c>
      <c r="P16" s="26" t="n">
        <f aca="false">SUM(L16:O16)</f>
        <v>29583.5625</v>
      </c>
      <c r="Q16" s="25" t="n">
        <f aca="false">Q10*(1-Assumptions!C12)</f>
        <v>7995.4632</v>
      </c>
      <c r="R16" s="25" t="n">
        <f aca="false">R10*(1-Assumptions!D12)</f>
        <v>8214.8352</v>
      </c>
      <c r="S16" s="25" t="n">
        <f aca="false">S10*(1-Assumptions!E12)</f>
        <v>8084.04961</v>
      </c>
      <c r="T16" s="25" t="n">
        <f aca="false">T10*(1-Assumptions!F12)</f>
        <v>8357.4050625</v>
      </c>
      <c r="U16" s="26" t="n">
        <f aca="false">SUM(Q16:T16)</f>
        <v>32651.7530725</v>
      </c>
      <c r="V16" s="25" t="n">
        <f aca="false">V10*(1-Assumptions!G12)</f>
        <v>8611.780155</v>
      </c>
      <c r="W16" s="25" t="n">
        <f aca="false">W10*(1-Assumptions!H12)</f>
        <v>8848.06208</v>
      </c>
      <c r="X16" s="25" t="n">
        <f aca="false">X10*(1-Assumptions!I12)</f>
        <v>8705.6382985</v>
      </c>
      <c r="Y16" s="25" t="n">
        <f aca="false">Y10*(1-Assumptions!J12)</f>
        <v>8999.19735</v>
      </c>
      <c r="Z16" s="26" t="n">
        <f aca="false">SUM(V16:Y16)</f>
        <v>35164.6778835</v>
      </c>
    </row>
    <row r="17" customFormat="false" ht="15" hidden="false" customHeight="false" outlineLevel="0" collapsed="false">
      <c r="A17" s="27" t="s">
        <v>94</v>
      </c>
      <c r="B17" s="28" t="n">
        <f aca="false">B15+B16</f>
        <v>64720</v>
      </c>
      <c r="C17" s="28" t="n">
        <f aca="false">C15+C16</f>
        <v>48482</v>
      </c>
      <c r="D17" s="28" t="n">
        <f aca="false">D15+D16</f>
        <v>46099</v>
      </c>
      <c r="E17" s="28" t="n">
        <f aca="false">E15+E16</f>
        <v>51051</v>
      </c>
      <c r="F17" s="29" t="n">
        <f aca="false">F15+F16</f>
        <v>210352</v>
      </c>
      <c r="G17" s="28" t="n">
        <f aca="false">G15+G16</f>
        <v>66025</v>
      </c>
      <c r="H17" s="28" t="n">
        <f aca="false">H15+H16</f>
        <v>50492</v>
      </c>
      <c r="I17" s="28" t="n">
        <f aca="false">I15+I16</f>
        <v>50318</v>
      </c>
      <c r="J17" s="28" t="n">
        <f aca="false">J15+J16</f>
        <v>54125</v>
      </c>
      <c r="K17" s="29" t="n">
        <f aca="false">K15+K16</f>
        <v>220960</v>
      </c>
      <c r="L17" s="28" t="n">
        <f aca="false">L15+L16</f>
        <v>74525</v>
      </c>
      <c r="M17" s="28" t="n">
        <f aca="false">M15+M16</f>
        <v>56403</v>
      </c>
      <c r="N17" s="28" t="n">
        <f aca="false">N15+N16</f>
        <v>54647</v>
      </c>
      <c r="O17" s="28" t="n">
        <f aca="false">O15+O16</f>
        <v>59155.85922</v>
      </c>
      <c r="P17" s="29" t="n">
        <f aca="false">P15+P16</f>
        <v>244730.85922</v>
      </c>
      <c r="Q17" s="28" t="n">
        <f aca="false">Q15+Q16</f>
        <v>82144.5249</v>
      </c>
      <c r="R17" s="28" t="n">
        <f aca="false">R15+R16</f>
        <v>62371.2768</v>
      </c>
      <c r="S17" s="28" t="n">
        <f aca="false">S15+S16</f>
        <v>61368.72511</v>
      </c>
      <c r="T17" s="28" t="n">
        <f aca="false">T15+T16</f>
        <v>62176.8116475</v>
      </c>
      <c r="U17" s="29" t="n">
        <f aca="false">U15+U16</f>
        <v>268061.3384575</v>
      </c>
      <c r="V17" s="28" t="n">
        <f aca="false">V15+V16</f>
        <v>86584.6426547</v>
      </c>
      <c r="W17" s="28" t="n">
        <f aca="false">W15+W16</f>
        <v>65534.624936</v>
      </c>
      <c r="X17" s="28" t="n">
        <f aca="false">X15+X16</f>
        <v>64481.0625835</v>
      </c>
      <c r="Y17" s="28" t="n">
        <f aca="false">Y15+Y16</f>
        <v>65331.58882515</v>
      </c>
      <c r="Z17" s="29" t="n">
        <f aca="false">Z15+Z16</f>
        <v>281931.91899935</v>
      </c>
    </row>
    <row r="18" customFormat="false" ht="15" hidden="false" customHeight="false" outlineLevel="0" collapsed="false">
      <c r="F18" s="32"/>
      <c r="K18" s="32"/>
      <c r="P18" s="32"/>
      <c r="U18" s="32"/>
      <c r="Z18" s="32"/>
    </row>
    <row r="19" customFormat="false" ht="15" hidden="false" customHeight="false" outlineLevel="0" collapsed="false">
      <c r="A19" s="8" t="s">
        <v>95</v>
      </c>
      <c r="B19" s="9"/>
      <c r="C19" s="9"/>
      <c r="D19" s="9"/>
      <c r="E19" s="9"/>
      <c r="F19" s="9"/>
      <c r="G19" s="9"/>
      <c r="H19" s="9"/>
      <c r="I19" s="9"/>
      <c r="J19" s="9"/>
      <c r="K19" s="9"/>
      <c r="L19" s="9"/>
      <c r="M19" s="9"/>
      <c r="N19" s="9"/>
      <c r="O19" s="9"/>
      <c r="P19" s="9"/>
      <c r="Q19" s="9"/>
      <c r="R19" s="9"/>
      <c r="S19" s="9"/>
      <c r="T19" s="9"/>
      <c r="U19" s="9"/>
      <c r="V19" s="9"/>
      <c r="W19" s="9"/>
      <c r="X19" s="9"/>
      <c r="Y19" s="9"/>
      <c r="Z19" s="9"/>
    </row>
    <row r="20" customFormat="false" ht="15" hidden="false" customHeight="false" outlineLevel="0" collapsed="false">
      <c r="A20" s="24" t="s">
        <v>96</v>
      </c>
      <c r="B20" s="25" t="n">
        <f aca="false">B9-B15</f>
        <v>38018</v>
      </c>
      <c r="C20" s="25" t="n">
        <f aca="false">C9-C15</f>
        <v>24462</v>
      </c>
      <c r="D20" s="25" t="n">
        <f aca="false">D9-D15</f>
        <v>21761</v>
      </c>
      <c r="E20" s="25" t="n">
        <f aca="false">E9-E15</f>
        <v>25392</v>
      </c>
      <c r="F20" s="26" t="n">
        <f aca="false">F9-F15</f>
        <v>109633</v>
      </c>
      <c r="G20" s="25" t="n">
        <f aca="false">G9-G15</f>
        <v>38513</v>
      </c>
      <c r="H20" s="25" t="n">
        <f aca="false">H9-H15</f>
        <v>24684</v>
      </c>
      <c r="I20" s="25" t="n">
        <f aca="false">I9-I15</f>
        <v>22993</v>
      </c>
      <c r="J20" s="25" t="n">
        <f aca="false">J9-J15</f>
        <v>26697</v>
      </c>
      <c r="K20" s="26" t="n">
        <f aca="false">K9-K15</f>
        <v>112887</v>
      </c>
      <c r="L20" s="25" t="n">
        <f aca="false">L9-L15</f>
        <v>46265</v>
      </c>
      <c r="M20" s="25" t="n">
        <f aca="false">M9-M15</f>
        <v>31029</v>
      </c>
      <c r="N20" s="25" t="n">
        <f aca="false">N9-N15</f>
        <v>31525</v>
      </c>
      <c r="O20" s="25" t="n">
        <f aca="false">O9-O15</f>
        <v>29381.72328</v>
      </c>
      <c r="P20" s="26" t="n">
        <f aca="false">P9-P15</f>
        <v>138200.72328</v>
      </c>
      <c r="Q20" s="25" t="n">
        <f aca="false">Q9-Q15</f>
        <v>46418.5183</v>
      </c>
      <c r="R20" s="25" t="n">
        <f aca="false">R9-R15</f>
        <v>30462.9984</v>
      </c>
      <c r="S20" s="25" t="n">
        <f aca="false">S9-S15</f>
        <v>29327.2245</v>
      </c>
      <c r="T20" s="25" t="n">
        <f aca="false">T9-T15</f>
        <v>30935.564415</v>
      </c>
      <c r="U20" s="26" t="n">
        <f aca="false">U9-U15</f>
        <v>137144.305615</v>
      </c>
      <c r="V20" s="25" t="n">
        <f aca="false">V9-V15</f>
        <v>49225.9344003</v>
      </c>
      <c r="W20" s="25" t="n">
        <f aca="false">W9-W15</f>
        <v>32163.849144</v>
      </c>
      <c r="X20" s="25" t="n">
        <f aca="false">X9-X15</f>
        <v>30967.070715</v>
      </c>
      <c r="Y20" s="25" t="n">
        <f aca="false">Y9-Y15</f>
        <v>32660.32807485</v>
      </c>
      <c r="Z20" s="26" t="n">
        <f aca="false">Z9-Z15</f>
        <v>145017.18233415</v>
      </c>
    </row>
    <row r="21" customFormat="false" ht="15" hidden="false" customHeight="false" outlineLevel="0" collapsed="false">
      <c r="A21" s="24" t="s">
        <v>97</v>
      </c>
      <c r="B21" s="25" t="n">
        <f aca="false">B10-B16</f>
        <v>16837</v>
      </c>
      <c r="C21" s="25" t="n">
        <f aca="false">C10-C16</f>
        <v>17809</v>
      </c>
      <c r="D21" s="25" t="n">
        <f aca="false">D10-D16</f>
        <v>17917</v>
      </c>
      <c r="E21" s="25" t="n">
        <f aca="false">E10-E16</f>
        <v>18487</v>
      </c>
      <c r="F21" s="26" t="n">
        <f aca="false">F10-F16</f>
        <v>71050</v>
      </c>
      <c r="G21" s="25" t="n">
        <f aca="false">G10-G16</f>
        <v>19762</v>
      </c>
      <c r="H21" s="25" t="n">
        <f aca="false">H10-H16</f>
        <v>20183</v>
      </c>
      <c r="I21" s="25" t="n">
        <f aca="false">I10-I16</f>
        <v>20725</v>
      </c>
      <c r="J21" s="25" t="n">
        <f aca="false">J10-J16</f>
        <v>21644</v>
      </c>
      <c r="K21" s="26" t="n">
        <f aca="false">K10-K16</f>
        <v>82314</v>
      </c>
      <c r="L21" s="25" t="n">
        <f aca="false">L10-L16</f>
        <v>22966</v>
      </c>
      <c r="M21" s="25" t="n">
        <f aca="false">M10-M16</f>
        <v>23752</v>
      </c>
      <c r="N21" s="25" t="n">
        <f aca="false">N10-N16</f>
        <v>23245</v>
      </c>
      <c r="O21" s="25" t="n">
        <f aca="false">O10-O16</f>
        <v>24093.9375</v>
      </c>
      <c r="P21" s="26" t="n">
        <f aca="false">P10-P16</f>
        <v>94056.9375</v>
      </c>
      <c r="Q21" s="25" t="n">
        <f aca="false">Q10-Q16</f>
        <v>25318.9668</v>
      </c>
      <c r="R21" s="25" t="n">
        <f aca="false">R10-R16</f>
        <v>26013.6448</v>
      </c>
      <c r="S21" s="25" t="n">
        <f aca="false">S10-S16</f>
        <v>25882.54539</v>
      </c>
      <c r="T21" s="25" t="n">
        <f aca="false">T10-T16</f>
        <v>26905.9074375</v>
      </c>
      <c r="U21" s="26" t="n">
        <f aca="false">U10-U16</f>
        <v>104121.0644275</v>
      </c>
      <c r="V21" s="25" t="n">
        <f aca="false">V10-V16</f>
        <v>28034.092845</v>
      </c>
      <c r="W21" s="25" t="n">
        <f aca="false">W10-W16</f>
        <v>28803.26592</v>
      </c>
      <c r="X21" s="25" t="n">
        <f aca="false">X10-X16</f>
        <v>28657.6162015</v>
      </c>
      <c r="Y21" s="25" t="n">
        <f aca="false">Y10-Y16</f>
        <v>29790.4464</v>
      </c>
      <c r="Z21" s="26" t="n">
        <f aca="false">Z10-Z16</f>
        <v>115285.4213665</v>
      </c>
    </row>
    <row r="22" customFormat="false" ht="15" hidden="false" customHeight="false" outlineLevel="0" collapsed="false">
      <c r="A22" s="27" t="s">
        <v>98</v>
      </c>
      <c r="B22" s="28" t="n">
        <f aca="false">B20+B21</f>
        <v>54855</v>
      </c>
      <c r="C22" s="28" t="n">
        <f aca="false">C20+C21</f>
        <v>42271</v>
      </c>
      <c r="D22" s="28" t="n">
        <f aca="false">D20+D21</f>
        <v>39678</v>
      </c>
      <c r="E22" s="28" t="n">
        <f aca="false">E20+E21</f>
        <v>43879</v>
      </c>
      <c r="F22" s="29" t="n">
        <f aca="false">F20+F21</f>
        <v>180683</v>
      </c>
      <c r="G22" s="28" t="n">
        <f aca="false">G20+G21</f>
        <v>58275</v>
      </c>
      <c r="H22" s="28" t="n">
        <f aca="false">H20+H21</f>
        <v>44867</v>
      </c>
      <c r="I22" s="28" t="n">
        <f aca="false">I20+I21</f>
        <v>43718</v>
      </c>
      <c r="J22" s="28" t="n">
        <f aca="false">J20+J21</f>
        <v>48341</v>
      </c>
      <c r="K22" s="29" t="n">
        <f aca="false">K20+K21</f>
        <v>195201</v>
      </c>
      <c r="L22" s="28" t="n">
        <f aca="false">L20+L21</f>
        <v>69231</v>
      </c>
      <c r="M22" s="28" t="n">
        <f aca="false">M20+M21</f>
        <v>54781</v>
      </c>
      <c r="N22" s="28" t="n">
        <f aca="false">N20+N21</f>
        <v>54770</v>
      </c>
      <c r="O22" s="28" t="n">
        <f aca="false">O20+O21</f>
        <v>53475.66078</v>
      </c>
      <c r="P22" s="29" t="n">
        <f aca="false">P20+P21</f>
        <v>232257.66078</v>
      </c>
      <c r="Q22" s="28" t="n">
        <f aca="false">Q20+Q21</f>
        <v>71737.4851</v>
      </c>
      <c r="R22" s="28" t="n">
        <f aca="false">R20+R21</f>
        <v>56476.6432</v>
      </c>
      <c r="S22" s="28" t="n">
        <f aca="false">S20+S21</f>
        <v>55209.76989</v>
      </c>
      <c r="T22" s="28" t="n">
        <f aca="false">T20+T21</f>
        <v>57841.4718525</v>
      </c>
      <c r="U22" s="29" t="n">
        <f aca="false">U20+U21</f>
        <v>241265.3700425</v>
      </c>
      <c r="V22" s="28" t="n">
        <f aca="false">V20+V21</f>
        <v>77260.0272453</v>
      </c>
      <c r="W22" s="28" t="n">
        <f aca="false">W20+W21</f>
        <v>60967.115064</v>
      </c>
      <c r="X22" s="28" t="n">
        <f aca="false">X20+X21</f>
        <v>59624.6869165</v>
      </c>
      <c r="Y22" s="28" t="n">
        <f aca="false">Y20+Y21</f>
        <v>62450.77447485</v>
      </c>
      <c r="Z22" s="29" t="n">
        <f aca="false">Z20+Z21</f>
        <v>260302.60370065</v>
      </c>
    </row>
    <row r="23" customFormat="false" ht="15" hidden="false" customHeight="false" outlineLevel="0" collapsed="false">
      <c r="A23" s="0" t="s">
        <v>99</v>
      </c>
      <c r="B23" s="30" t="n">
        <f aca="false">B22/B11</f>
        <v>0.458749738657746</v>
      </c>
      <c r="C23" s="30" t="n">
        <f aca="false">C22/C11</f>
        <v>0.465780745540092</v>
      </c>
      <c r="D23" s="30" t="n">
        <f aca="false">D22/D11</f>
        <v>0.462571551814589</v>
      </c>
      <c r="E23" s="30" t="n">
        <f aca="false">E22/E11</f>
        <v>0.462224797219004</v>
      </c>
      <c r="F23" s="31" t="n">
        <f aca="false">F22/F11</f>
        <v>0.462063498152339</v>
      </c>
      <c r="G23" s="30" t="n">
        <f aca="false">G22/G11</f>
        <v>0.468825422365245</v>
      </c>
      <c r="H23" s="30" t="n">
        <f aca="false">H22/H11</f>
        <v>0.470506192388762</v>
      </c>
      <c r="I23" s="30" t="n">
        <f aca="false">I22/I11</f>
        <v>0.464907056871836</v>
      </c>
      <c r="J23" s="30" t="n">
        <f aca="false">J22/J11</f>
        <v>0.471776003747585</v>
      </c>
      <c r="K23" s="31" t="n">
        <f aca="false">K22/K11</f>
        <v>0.469051641071605</v>
      </c>
      <c r="L23" s="30" t="n">
        <f aca="false">L22/L11</f>
        <v>0.481586855505162</v>
      </c>
      <c r="M23" s="30" t="n">
        <f aca="false">M22/M11</f>
        <v>0.492705785005037</v>
      </c>
      <c r="N23" s="30" t="n">
        <f aca="false">N22/N11</f>
        <v>0.500562069879452</v>
      </c>
      <c r="O23" s="30" t="n">
        <f aca="false">O22/O11</f>
        <v>0.474784152606659</v>
      </c>
      <c r="P23" s="31" t="n">
        <f aca="false">P22/P11</f>
        <v>0.486925053835677</v>
      </c>
      <c r="Q23" s="30" t="n">
        <f aca="false">Q22/Q11</f>
        <v>0.466185001742569</v>
      </c>
      <c r="R23" s="30" t="n">
        <f aca="false">R22/R11</f>
        <v>0.475200939149798</v>
      </c>
      <c r="S23" s="30" t="n">
        <f aca="false">S22/S11</f>
        <v>0.473584513936297</v>
      </c>
      <c r="T23" s="30" t="n">
        <f aca="false">T22/T11</f>
        <v>0.481938836031595</v>
      </c>
      <c r="U23" s="31" t="n">
        <f aca="false">U22/U11</f>
        <v>0.47369471503476</v>
      </c>
      <c r="V23" s="30" t="n">
        <f aca="false">V22/V11</f>
        <v>0.471544343141919</v>
      </c>
      <c r="W23" s="30" t="n">
        <f aca="false">W22/W11</f>
        <v>0.481946849616456</v>
      </c>
      <c r="X23" s="30" t="n">
        <f aca="false">X22/X11</f>
        <v>0.480434525851681</v>
      </c>
      <c r="Y23" s="30" t="n">
        <f aca="false">Y22/Y11</f>
        <v>0.488727652721774</v>
      </c>
      <c r="Z23" s="31" t="n">
        <f aca="false">Z22/Z11</f>
        <v>0.480055387112758</v>
      </c>
    </row>
    <row r="24" customFormat="false" ht="15" hidden="false" customHeight="false" outlineLevel="0" collapsed="false">
      <c r="F24" s="32"/>
      <c r="K24" s="32"/>
      <c r="P24" s="32"/>
      <c r="U24" s="32"/>
      <c r="Z24" s="32"/>
    </row>
    <row r="25" customFormat="false" ht="15" hidden="false" customHeight="false" outlineLevel="0" collapsed="false">
      <c r="A25" s="8" t="s">
        <v>100</v>
      </c>
      <c r="B25" s="9"/>
      <c r="C25" s="9"/>
      <c r="D25" s="9"/>
      <c r="E25" s="9"/>
      <c r="F25" s="9"/>
      <c r="G25" s="9"/>
      <c r="H25" s="9"/>
      <c r="I25" s="9"/>
      <c r="J25" s="9"/>
      <c r="K25" s="9"/>
      <c r="L25" s="9"/>
      <c r="M25" s="9"/>
      <c r="N25" s="9"/>
      <c r="O25" s="9"/>
      <c r="P25" s="9"/>
      <c r="Q25" s="9"/>
      <c r="R25" s="9"/>
      <c r="S25" s="9"/>
      <c r="T25" s="9"/>
      <c r="U25" s="9"/>
      <c r="V25" s="9"/>
      <c r="W25" s="9"/>
      <c r="X25" s="9"/>
      <c r="Y25" s="9"/>
      <c r="Z25" s="9"/>
    </row>
    <row r="26" customFormat="false" ht="15" hidden="false" customHeight="false" outlineLevel="0" collapsed="false">
      <c r="A26" s="24" t="s">
        <v>101</v>
      </c>
      <c r="B26" s="25" t="n">
        <v>7696</v>
      </c>
      <c r="C26" s="25" t="n">
        <v>7903</v>
      </c>
      <c r="D26" s="25" t="n">
        <v>8006</v>
      </c>
      <c r="E26" s="25" t="n">
        <v>7765</v>
      </c>
      <c r="F26" s="26" t="n">
        <f aca="false">SUM(B26:E26)</f>
        <v>31370</v>
      </c>
      <c r="G26" s="25" t="n">
        <v>8268</v>
      </c>
      <c r="H26" s="25" t="n">
        <v>8550</v>
      </c>
      <c r="I26" s="25" t="n">
        <v>8866</v>
      </c>
      <c r="J26" s="25" t="n">
        <v>8866</v>
      </c>
      <c r="K26" s="26" t="n">
        <f aca="false">SUM(G26:J26)</f>
        <v>34550</v>
      </c>
      <c r="L26" s="25" t="n">
        <v>10887</v>
      </c>
      <c r="M26" s="25" t="n">
        <v>11419</v>
      </c>
      <c r="N26" s="25" t="n">
        <v>11729</v>
      </c>
      <c r="O26" s="25" t="n">
        <f aca="false">J26*(1+Assumptions!B15)</f>
        <v>11703.12</v>
      </c>
      <c r="P26" s="26" t="n">
        <f aca="false">SUM(L26:O26)</f>
        <v>45738.12</v>
      </c>
      <c r="Q26" s="25" t="n">
        <f aca="false">L26*(1+Assumptions!C15)</f>
        <v>13064.4</v>
      </c>
      <c r="R26" s="25" t="n">
        <f aca="false">M26*(1+Assumptions!D15)</f>
        <v>13131.85</v>
      </c>
      <c r="S26" s="25" t="n">
        <f aca="false">N26*(1+Assumptions!E15)</f>
        <v>13136.48</v>
      </c>
      <c r="T26" s="25" t="n">
        <f aca="false">O26*(1+Assumptions!F15)</f>
        <v>13107.4944</v>
      </c>
      <c r="U26" s="26" t="n">
        <f aca="false">SUM(Q26:T26)</f>
        <v>52440.2244</v>
      </c>
      <c r="V26" s="25" t="n">
        <f aca="false">Q26*(1+Assumptions!G15)</f>
        <v>14370.84</v>
      </c>
      <c r="W26" s="25" t="n">
        <f aca="false">R26*(1+Assumptions!H15)</f>
        <v>14313.7165</v>
      </c>
      <c r="X26" s="25" t="n">
        <f aca="false">S26*(1+Assumptions!I15)</f>
        <v>14187.3984</v>
      </c>
      <c r="Y26" s="25" t="n">
        <f aca="false">T26*(1+Assumptions!J15)</f>
        <v>14156.093952</v>
      </c>
      <c r="Z26" s="26" t="n">
        <f aca="false">SUM(V26:Y26)</f>
        <v>57028.048852</v>
      </c>
    </row>
    <row r="27" customFormat="false" ht="15" hidden="false" customHeight="false" outlineLevel="0" collapsed="false">
      <c r="A27" s="24" t="s">
        <v>102</v>
      </c>
      <c r="B27" s="25" t="n">
        <v>6786</v>
      </c>
      <c r="C27" s="25" t="n">
        <v>6468</v>
      </c>
      <c r="D27" s="25" t="n">
        <v>6320</v>
      </c>
      <c r="E27" s="25" t="n">
        <v>6523</v>
      </c>
      <c r="F27" s="26" t="n">
        <f aca="false">SUM(B27:E27)</f>
        <v>26097</v>
      </c>
      <c r="G27" s="25" t="n">
        <v>7175</v>
      </c>
      <c r="H27" s="25" t="n">
        <v>6728</v>
      </c>
      <c r="I27" s="25" t="n">
        <v>6650</v>
      </c>
      <c r="J27" s="25" t="n">
        <v>7048</v>
      </c>
      <c r="K27" s="26" t="n">
        <f aca="false">SUM(G27:J27)</f>
        <v>27601</v>
      </c>
      <c r="L27" s="25" t="n">
        <v>7492</v>
      </c>
      <c r="M27" s="25" t="n">
        <v>7477</v>
      </c>
      <c r="N27" s="25" t="n">
        <v>7346</v>
      </c>
      <c r="O27" s="25" t="n">
        <f aca="false">J27*(1+Assumptions!B16)</f>
        <v>7541.36</v>
      </c>
      <c r="P27" s="26" t="n">
        <f aca="false">SUM(L27:O27)</f>
        <v>29856.36</v>
      </c>
      <c r="Q27" s="25" t="n">
        <f aca="false">L27*(1+Assumptions!C16)</f>
        <v>8091.36</v>
      </c>
      <c r="R27" s="25" t="n">
        <f aca="false">M27*(1+Assumptions!D16)</f>
        <v>8075.16</v>
      </c>
      <c r="S27" s="25" t="n">
        <f aca="false">N27*(1+Assumptions!E16)</f>
        <v>7860.22</v>
      </c>
      <c r="T27" s="25" t="n">
        <f aca="false">O27*(1+Assumptions!F16)</f>
        <v>8069.2552</v>
      </c>
      <c r="U27" s="26" t="n">
        <f aca="false">SUM(Q27:T27)</f>
        <v>32095.9952</v>
      </c>
      <c r="V27" s="25" t="n">
        <f aca="false">Q27*(1+Assumptions!G16)</f>
        <v>8657.7552</v>
      </c>
      <c r="W27" s="25" t="n">
        <f aca="false">R27*(1+Assumptions!H16)</f>
        <v>8640.4212</v>
      </c>
      <c r="X27" s="25" t="n">
        <f aca="false">S27*(1+Assumptions!I16)</f>
        <v>8331.8332</v>
      </c>
      <c r="Y27" s="25" t="n">
        <f aca="false">T27*(1+Assumptions!J16)</f>
        <v>8553.410512</v>
      </c>
      <c r="Z27" s="26" t="n">
        <f aca="false">SUM(V27:Y27)</f>
        <v>34183.420112</v>
      </c>
    </row>
    <row r="28" customFormat="false" ht="15" hidden="false" customHeight="false" outlineLevel="0" collapsed="false">
      <c r="A28" s="27" t="s">
        <v>103</v>
      </c>
      <c r="B28" s="28" t="n">
        <f aca="false">B26+B27</f>
        <v>14482</v>
      </c>
      <c r="C28" s="28" t="n">
        <f aca="false">C26+C27</f>
        <v>14371</v>
      </c>
      <c r="D28" s="28" t="n">
        <f aca="false">D26+D27</f>
        <v>14326</v>
      </c>
      <c r="E28" s="28" t="n">
        <f aca="false">E26+E27</f>
        <v>14288</v>
      </c>
      <c r="F28" s="29" t="n">
        <f aca="false">F26+F27</f>
        <v>57467</v>
      </c>
      <c r="G28" s="28" t="n">
        <f aca="false">G26+G27</f>
        <v>15443</v>
      </c>
      <c r="H28" s="28" t="n">
        <f aca="false">H26+H27</f>
        <v>15278</v>
      </c>
      <c r="I28" s="28" t="n">
        <f aca="false">I26+I27</f>
        <v>15516</v>
      </c>
      <c r="J28" s="28" t="n">
        <f aca="false">J26+J27</f>
        <v>15914</v>
      </c>
      <c r="K28" s="29" t="n">
        <f aca="false">K26+K27</f>
        <v>62151</v>
      </c>
      <c r="L28" s="28" t="n">
        <f aca="false">L26+L27</f>
        <v>18379</v>
      </c>
      <c r="M28" s="28" t="n">
        <f aca="false">M26+M27</f>
        <v>18896</v>
      </c>
      <c r="N28" s="28" t="n">
        <f aca="false">N26+N27</f>
        <v>19075</v>
      </c>
      <c r="O28" s="28" t="n">
        <f aca="false">O26+O27</f>
        <v>19244.48</v>
      </c>
      <c r="P28" s="29" t="n">
        <f aca="false">P26+P27</f>
        <v>75594.48</v>
      </c>
      <c r="Q28" s="28" t="n">
        <f aca="false">Q26+Q27</f>
        <v>21155.76</v>
      </c>
      <c r="R28" s="28" t="n">
        <f aca="false">R26+R27</f>
        <v>21207.01</v>
      </c>
      <c r="S28" s="28" t="n">
        <f aca="false">S26+S27</f>
        <v>20996.7</v>
      </c>
      <c r="T28" s="28" t="n">
        <f aca="false">T26+T27</f>
        <v>21176.7496</v>
      </c>
      <c r="U28" s="29" t="n">
        <f aca="false">U26+U27</f>
        <v>84536.2196</v>
      </c>
      <c r="V28" s="28" t="n">
        <f aca="false">V26+V27</f>
        <v>23028.5952</v>
      </c>
      <c r="W28" s="28" t="n">
        <f aca="false">W26+W27</f>
        <v>22954.1377</v>
      </c>
      <c r="X28" s="28" t="n">
        <f aca="false">X26+X27</f>
        <v>22519.2316</v>
      </c>
      <c r="Y28" s="28" t="n">
        <f aca="false">Y26+Y27</f>
        <v>22709.504464</v>
      </c>
      <c r="Z28" s="29" t="n">
        <f aca="false">Z26+Z27</f>
        <v>91211.468964</v>
      </c>
    </row>
    <row r="29" customFormat="false" ht="15" hidden="false" customHeight="false" outlineLevel="0" collapsed="false">
      <c r="F29" s="32"/>
      <c r="K29" s="32"/>
      <c r="P29" s="32"/>
      <c r="U29" s="32"/>
      <c r="Z29" s="32"/>
    </row>
    <row r="30" customFormat="false" ht="15" hidden="false" customHeight="false" outlineLevel="0" collapsed="false">
      <c r="A30" s="27" t="s">
        <v>104</v>
      </c>
      <c r="B30" s="28" t="n">
        <f aca="false">B22-B28</f>
        <v>40373</v>
      </c>
      <c r="C30" s="28" t="n">
        <f aca="false">C22-C28</f>
        <v>27900</v>
      </c>
      <c r="D30" s="28" t="n">
        <f aca="false">D22-D28</f>
        <v>25352</v>
      </c>
      <c r="E30" s="28" t="n">
        <f aca="false">E22-E28</f>
        <v>29591</v>
      </c>
      <c r="F30" s="29" t="n">
        <f aca="false">F22-F28</f>
        <v>123216</v>
      </c>
      <c r="G30" s="28" t="n">
        <f aca="false">G22-G28</f>
        <v>42832</v>
      </c>
      <c r="H30" s="28" t="n">
        <f aca="false">H22-H28</f>
        <v>29589</v>
      </c>
      <c r="I30" s="28" t="n">
        <f aca="false">I22-I28</f>
        <v>28202</v>
      </c>
      <c r="J30" s="28" t="n">
        <f aca="false">J22-J28</f>
        <v>32427</v>
      </c>
      <c r="K30" s="29" t="n">
        <f aca="false">K22-K28</f>
        <v>133050</v>
      </c>
      <c r="L30" s="28" t="n">
        <f aca="false">L22-L28</f>
        <v>50852</v>
      </c>
      <c r="M30" s="28" t="n">
        <f aca="false">M22-M28</f>
        <v>35885</v>
      </c>
      <c r="N30" s="28" t="n">
        <f aca="false">N22-N28</f>
        <v>35695</v>
      </c>
      <c r="O30" s="28" t="n">
        <f aca="false">O22-O28</f>
        <v>34231.18078</v>
      </c>
      <c r="P30" s="29" t="n">
        <f aca="false">P22-P28</f>
        <v>156663.18078</v>
      </c>
      <c r="Q30" s="28" t="n">
        <f aca="false">Q22-Q28</f>
        <v>50581.7251</v>
      </c>
      <c r="R30" s="28" t="n">
        <f aca="false">R22-R28</f>
        <v>35269.6332</v>
      </c>
      <c r="S30" s="28" t="n">
        <f aca="false">S22-S28</f>
        <v>34213.06989</v>
      </c>
      <c r="T30" s="28" t="n">
        <f aca="false">T22-T28</f>
        <v>36664.7222525</v>
      </c>
      <c r="U30" s="29" t="n">
        <f aca="false">U22-U28</f>
        <v>156729.1504425</v>
      </c>
      <c r="V30" s="28" t="n">
        <f aca="false">V22-V28</f>
        <v>54231.4320453</v>
      </c>
      <c r="W30" s="28" t="n">
        <f aca="false">W22-W28</f>
        <v>38012.977364</v>
      </c>
      <c r="X30" s="28" t="n">
        <f aca="false">X22-X28</f>
        <v>37105.4553165</v>
      </c>
      <c r="Y30" s="28" t="n">
        <f aca="false">Y22-Y28</f>
        <v>39741.27001085</v>
      </c>
      <c r="Z30" s="29" t="n">
        <f aca="false">Z22-Z28</f>
        <v>169091.13473665</v>
      </c>
    </row>
    <row r="31" customFormat="false" ht="15" hidden="false" customHeight="false" outlineLevel="0" collapsed="false">
      <c r="A31" s="0" t="s">
        <v>105</v>
      </c>
      <c r="B31" s="30" t="n">
        <f aca="false">B30/B11</f>
        <v>0.337637466025507</v>
      </c>
      <c r="C31" s="30" t="n">
        <f aca="false">C30/C11</f>
        <v>0.307427853624674</v>
      </c>
      <c r="D31" s="30" t="n">
        <f aca="false">D30/D11</f>
        <v>0.295557084066824</v>
      </c>
      <c r="E31" s="30" t="n">
        <f aca="false">E30/E11</f>
        <v>0.311713894448541</v>
      </c>
      <c r="F31" s="31" t="n">
        <f aca="false">F30/F11</f>
        <v>0.315102228700756</v>
      </c>
      <c r="G31" s="30" t="n">
        <f aca="false">G30/G11</f>
        <v>0.344585679806919</v>
      </c>
      <c r="H31" s="30" t="n">
        <f aca="false">H30/H11</f>
        <v>0.310290586100945</v>
      </c>
      <c r="I31" s="30" t="n">
        <f aca="false">I30/I11</f>
        <v>0.299906418818325</v>
      </c>
      <c r="J31" s="30" t="n">
        <f aca="false">J30/J11</f>
        <v>0.31646594968087</v>
      </c>
      <c r="K31" s="31" t="n">
        <f aca="false">K30/K11</f>
        <v>0.319707997625919</v>
      </c>
      <c r="L31" s="30" t="n">
        <f aca="false">L30/L11</f>
        <v>0.353738278750104</v>
      </c>
      <c r="M31" s="30" t="n">
        <f aca="false">M30/M11</f>
        <v>0.322753273852353</v>
      </c>
      <c r="N31" s="30" t="n">
        <f aca="false">N30/N11</f>
        <v>0.326229013772997</v>
      </c>
      <c r="O31" s="30" t="n">
        <f aca="false">O30/O11</f>
        <v>0.303921857575926</v>
      </c>
      <c r="P31" s="31" t="n">
        <f aca="false">P30/P11</f>
        <v>0.328442245905625</v>
      </c>
      <c r="Q31" s="30" t="n">
        <f aca="false">Q30/Q11</f>
        <v>0.328704603611559</v>
      </c>
      <c r="R31" s="30" t="n">
        <f aca="false">R30/R11</f>
        <v>0.296762730050303</v>
      </c>
      <c r="S31" s="30" t="n">
        <f aca="false">S30/S11</f>
        <v>0.293476681870014</v>
      </c>
      <c r="T31" s="30" t="n">
        <f aca="false">T30/T11</f>
        <v>0.305492806456443</v>
      </c>
      <c r="U31" s="31" t="n">
        <f aca="false">U30/U11</f>
        <v>0.307718303059499</v>
      </c>
      <c r="V31" s="30" t="n">
        <f aca="false">V30/V11</f>
        <v>0.330992958625992</v>
      </c>
      <c r="W31" s="30" t="n">
        <f aca="false">W30/W11</f>
        <v>0.300493711501518</v>
      </c>
      <c r="X31" s="30" t="n">
        <f aca="false">X30/X11</f>
        <v>0.298982564997925</v>
      </c>
      <c r="Y31" s="30" t="n">
        <f aca="false">Y30/Y11</f>
        <v>0.311007473836963</v>
      </c>
      <c r="Z31" s="31" t="n">
        <f aca="false">Z30/Z11</f>
        <v>0.311841330011004</v>
      </c>
    </row>
    <row r="32" customFormat="false" ht="15" hidden="false" customHeight="false" outlineLevel="0" collapsed="false">
      <c r="F32" s="32"/>
      <c r="K32" s="32"/>
      <c r="P32" s="32"/>
      <c r="U32" s="32"/>
      <c r="Z32" s="32"/>
    </row>
    <row r="33" customFormat="false" ht="15" hidden="false" customHeight="false" outlineLevel="0" collapsed="false">
      <c r="A33" s="0" t="s">
        <v>106</v>
      </c>
      <c r="B33" s="25" t="n">
        <v>-50</v>
      </c>
      <c r="C33" s="25" t="n">
        <v>158</v>
      </c>
      <c r="D33" s="25" t="n">
        <v>142</v>
      </c>
      <c r="E33" s="25" t="n">
        <v>19</v>
      </c>
      <c r="F33" s="26" t="n">
        <f aca="false">SUM(B33:E33)</f>
        <v>269</v>
      </c>
      <c r="G33" s="25" t="n">
        <v>-248</v>
      </c>
      <c r="H33" s="25" t="n">
        <v>-279</v>
      </c>
      <c r="I33" s="25" t="n">
        <v>-171</v>
      </c>
      <c r="J33" s="25" t="n">
        <v>377</v>
      </c>
      <c r="K33" s="26" t="n">
        <f aca="false">SUM(G33:J33)</f>
        <v>-321</v>
      </c>
      <c r="L33" s="25" t="n">
        <v>150</v>
      </c>
      <c r="M33" s="25" t="n">
        <v>-52</v>
      </c>
      <c r="N33" s="25" t="n">
        <v>572</v>
      </c>
      <c r="O33" s="25" t="n">
        <f aca="false">Assumptions!B19</f>
        <v>150</v>
      </c>
      <c r="P33" s="26" t="n">
        <f aca="false">SUM(L33:O33)</f>
        <v>820</v>
      </c>
      <c r="Q33" s="25" t="n">
        <f aca="false">Assumptions!C19</f>
        <v>150</v>
      </c>
      <c r="R33" s="25" t="n">
        <f aca="false">Assumptions!D19</f>
        <v>150</v>
      </c>
      <c r="S33" s="25" t="n">
        <f aca="false">Assumptions!E19</f>
        <v>150</v>
      </c>
      <c r="T33" s="25" t="n">
        <f aca="false">Assumptions!F19</f>
        <v>150</v>
      </c>
      <c r="U33" s="26" t="n">
        <f aca="false">SUM(Q33:T33)</f>
        <v>600</v>
      </c>
      <c r="V33" s="25" t="n">
        <f aca="false">Assumptions!G19</f>
        <v>150</v>
      </c>
      <c r="W33" s="25" t="n">
        <f aca="false">Assumptions!H19</f>
        <v>150</v>
      </c>
      <c r="X33" s="25" t="n">
        <f aca="false">Assumptions!I19</f>
        <v>150</v>
      </c>
      <c r="Y33" s="25" t="n">
        <f aca="false">Assumptions!J19</f>
        <v>150</v>
      </c>
      <c r="Z33" s="26" t="n">
        <f aca="false">SUM(V33:Y33)</f>
        <v>600</v>
      </c>
    </row>
    <row r="34" customFormat="false" ht="15" hidden="false" customHeight="false" outlineLevel="0" collapsed="false">
      <c r="A34" s="27" t="s">
        <v>107</v>
      </c>
      <c r="B34" s="28" t="n">
        <f aca="false">B30+B33</f>
        <v>40323</v>
      </c>
      <c r="C34" s="28" t="n">
        <f aca="false">C30+C33</f>
        <v>28058</v>
      </c>
      <c r="D34" s="28" t="n">
        <f aca="false">D30+D33</f>
        <v>25494</v>
      </c>
      <c r="E34" s="28" t="n">
        <f aca="false">E30+E33</f>
        <v>29610</v>
      </c>
      <c r="F34" s="29" t="n">
        <f aca="false">F30+F33</f>
        <v>123485</v>
      </c>
      <c r="G34" s="28" t="n">
        <f aca="false">G30+G33</f>
        <v>42584</v>
      </c>
      <c r="H34" s="28" t="n">
        <f aca="false">H30+H33</f>
        <v>29310</v>
      </c>
      <c r="I34" s="28" t="n">
        <f aca="false">I30+I33</f>
        <v>28031</v>
      </c>
      <c r="J34" s="28" t="n">
        <f aca="false">J30+J33</f>
        <v>32804</v>
      </c>
      <c r="K34" s="29" t="n">
        <f aca="false">K30+K33</f>
        <v>132729</v>
      </c>
      <c r="L34" s="28" t="n">
        <f aca="false">L30+L33</f>
        <v>51002</v>
      </c>
      <c r="M34" s="28" t="n">
        <f aca="false">M30+M33</f>
        <v>35833</v>
      </c>
      <c r="N34" s="28" t="n">
        <f aca="false">N30+N33</f>
        <v>36267</v>
      </c>
      <c r="O34" s="28" t="n">
        <f aca="false">O30+O33</f>
        <v>34381.18078</v>
      </c>
      <c r="P34" s="29" t="n">
        <f aca="false">P30+P33</f>
        <v>157483.18078</v>
      </c>
      <c r="Q34" s="28" t="n">
        <f aca="false">Q30+Q33</f>
        <v>50731.7251</v>
      </c>
      <c r="R34" s="28" t="n">
        <f aca="false">R30+R33</f>
        <v>35419.6332</v>
      </c>
      <c r="S34" s="28" t="n">
        <f aca="false">S30+S33</f>
        <v>34363.06989</v>
      </c>
      <c r="T34" s="28" t="n">
        <f aca="false">T30+T33</f>
        <v>36814.7222525</v>
      </c>
      <c r="U34" s="29" t="n">
        <f aca="false">U30+U33</f>
        <v>157329.1504425</v>
      </c>
      <c r="V34" s="28" t="n">
        <f aca="false">V30+V33</f>
        <v>54381.4320453</v>
      </c>
      <c r="W34" s="28" t="n">
        <f aca="false">W30+W33</f>
        <v>38162.977364</v>
      </c>
      <c r="X34" s="28" t="n">
        <f aca="false">X30+X33</f>
        <v>37255.4553165</v>
      </c>
      <c r="Y34" s="28" t="n">
        <f aca="false">Y30+Y33</f>
        <v>39891.27001085</v>
      </c>
      <c r="Z34" s="29" t="n">
        <f aca="false">Z30+Z33</f>
        <v>169691.13473665</v>
      </c>
    </row>
    <row r="35" customFormat="false" ht="15" hidden="false" customHeight="false" outlineLevel="0" collapsed="false">
      <c r="A35" s="0" t="s">
        <v>108</v>
      </c>
      <c r="B35" s="25" t="n">
        <v>6407</v>
      </c>
      <c r="C35" s="25" t="n">
        <v>4422</v>
      </c>
      <c r="D35" s="25" t="n">
        <v>4046</v>
      </c>
      <c r="E35" s="25" t="n">
        <v>14874</v>
      </c>
      <c r="F35" s="26" t="n">
        <f aca="false">SUM(B35:E35)</f>
        <v>29749</v>
      </c>
      <c r="G35" s="25" t="n">
        <v>6254</v>
      </c>
      <c r="H35" s="25" t="n">
        <v>4530</v>
      </c>
      <c r="I35" s="25" t="n">
        <v>4597</v>
      </c>
      <c r="J35" s="25" t="n">
        <v>5338</v>
      </c>
      <c r="K35" s="26" t="n">
        <f aca="false">SUM(G35:J35)</f>
        <v>20719</v>
      </c>
      <c r="L35" s="25" t="n">
        <v>8905</v>
      </c>
      <c r="M35" s="25" t="n">
        <v>6255</v>
      </c>
      <c r="N35" s="25" t="n">
        <v>6478</v>
      </c>
      <c r="O35" s="25" t="n">
        <f aca="false">O34*Assumptions!B20</f>
        <v>6188.6125404</v>
      </c>
      <c r="P35" s="26" t="n">
        <f aca="false">SUM(L35:O35)</f>
        <v>27826.6125404</v>
      </c>
      <c r="Q35" s="25" t="n">
        <f aca="false">Q34*Assumptions!C20</f>
        <v>9131.710518</v>
      </c>
      <c r="R35" s="25" t="n">
        <f aca="false">R34*Assumptions!D20</f>
        <v>6375.533976</v>
      </c>
      <c r="S35" s="25" t="n">
        <f aca="false">S34*Assumptions!E20</f>
        <v>6254.07871998</v>
      </c>
      <c r="T35" s="25" t="n">
        <f aca="false">T34*Assumptions!F20</f>
        <v>6700.279449955</v>
      </c>
      <c r="U35" s="26" t="n">
        <f aca="false">SUM(Q35:T35)</f>
        <v>28461.602663935</v>
      </c>
      <c r="V35" s="25" t="n">
        <f aca="false">V34*Assumptions!G20</f>
        <v>9897.4206322446</v>
      </c>
      <c r="W35" s="25" t="n">
        <f aca="false">W34*Assumptions!H20</f>
        <v>6983.824857612</v>
      </c>
      <c r="X35" s="25" t="n">
        <f aca="false">X34*Assumptions!I20</f>
        <v>6817.7483229195</v>
      </c>
      <c r="Y35" s="25" t="n">
        <f aca="false">Y34*Assumptions!J20</f>
        <v>7300.10241198555</v>
      </c>
      <c r="Z35" s="26" t="n">
        <f aca="false">SUM(V35:Y35)</f>
        <v>30999.0962247616</v>
      </c>
    </row>
    <row r="36" customFormat="false" ht="15" hidden="false" customHeight="false" outlineLevel="0" collapsed="false">
      <c r="A36" s="0" t="s">
        <v>109</v>
      </c>
      <c r="B36" s="30" t="n">
        <f aca="false">B35/B34</f>
        <v>0.158891947523746</v>
      </c>
      <c r="C36" s="30" t="n">
        <f aca="false">C35/C34</f>
        <v>0.157602109915176</v>
      </c>
      <c r="D36" s="30" t="n">
        <f aca="false">D35/D34</f>
        <v>0.158704008786381</v>
      </c>
      <c r="E36" s="30" t="n">
        <f aca="false">E35/E34</f>
        <v>0.502330293819656</v>
      </c>
      <c r="F36" s="31" t="n">
        <f aca="false">F35/F34</f>
        <v>0.2409118516419</v>
      </c>
      <c r="G36" s="30" t="n">
        <f aca="false">G35/G34</f>
        <v>0.146862671425888</v>
      </c>
      <c r="H36" s="30" t="n">
        <f aca="false">H35/H34</f>
        <v>0.154554759467758</v>
      </c>
      <c r="I36" s="30" t="n">
        <f aca="false">I35/I34</f>
        <v>0.163997003317755</v>
      </c>
      <c r="J36" s="30" t="n">
        <f aca="false">J35/J34</f>
        <v>0.162724058041702</v>
      </c>
      <c r="K36" s="31" t="n">
        <f aca="false">K35/K34</f>
        <v>0.15610002335586</v>
      </c>
      <c r="L36" s="30" t="n">
        <f aca="false">L35/L34</f>
        <v>0.174600996039371</v>
      </c>
      <c r="M36" s="30" t="n">
        <f aca="false">M35/M34</f>
        <v>0.174559763346636</v>
      </c>
      <c r="N36" s="30" t="n">
        <f aca="false">N35/N34</f>
        <v>0.178619681804395</v>
      </c>
      <c r="O36" s="30" t="n">
        <f aca="false">O35/O34</f>
        <v>0.18</v>
      </c>
      <c r="P36" s="31" t="n">
        <f aca="false">P35/P34</f>
        <v>0.176695774130147</v>
      </c>
      <c r="Q36" s="30" t="n">
        <f aca="false">Q35/Q34</f>
        <v>0.18</v>
      </c>
      <c r="R36" s="30" t="n">
        <f aca="false">R35/R34</f>
        <v>0.18</v>
      </c>
      <c r="S36" s="30" t="n">
        <f aca="false">S35/S34</f>
        <v>0.182</v>
      </c>
      <c r="T36" s="30" t="n">
        <f aca="false">T35/T34</f>
        <v>0.182</v>
      </c>
      <c r="U36" s="31" t="n">
        <f aca="false">U35/U34</f>
        <v>0.180904826498361</v>
      </c>
      <c r="V36" s="30" t="n">
        <f aca="false">V35/V34</f>
        <v>0.182</v>
      </c>
      <c r="W36" s="30" t="n">
        <f aca="false">W35/W34</f>
        <v>0.183</v>
      </c>
      <c r="X36" s="30" t="n">
        <f aca="false">X35/X34</f>
        <v>0.183</v>
      </c>
      <c r="Y36" s="30" t="n">
        <f aca="false">Y35/Y34</f>
        <v>0.183</v>
      </c>
      <c r="Z36" s="31" t="n">
        <f aca="false">Z35/Z34</f>
        <v>0.1826795269704</v>
      </c>
    </row>
    <row r="37" customFormat="false" ht="15" hidden="false" customHeight="false" outlineLevel="0" collapsed="false">
      <c r="A37" s="27" t="s">
        <v>110</v>
      </c>
      <c r="B37" s="28" t="n">
        <f aca="false">B34-B35</f>
        <v>33916</v>
      </c>
      <c r="C37" s="28" t="n">
        <f aca="false">C34-C35</f>
        <v>23636</v>
      </c>
      <c r="D37" s="28" t="n">
        <f aca="false">D34-D35</f>
        <v>21448</v>
      </c>
      <c r="E37" s="28" t="n">
        <f aca="false">E34-E35</f>
        <v>14736</v>
      </c>
      <c r="F37" s="29" t="n">
        <f aca="false">F34-F35</f>
        <v>93736</v>
      </c>
      <c r="G37" s="28" t="n">
        <f aca="false">G34-G35</f>
        <v>36330</v>
      </c>
      <c r="H37" s="28" t="n">
        <f aca="false">H34-H35</f>
        <v>24780</v>
      </c>
      <c r="I37" s="28" t="n">
        <f aca="false">I34-I35</f>
        <v>23434</v>
      </c>
      <c r="J37" s="28" t="n">
        <f aca="false">J34-J35</f>
        <v>27466</v>
      </c>
      <c r="K37" s="29" t="n">
        <f aca="false">K34-K35</f>
        <v>112010</v>
      </c>
      <c r="L37" s="28" t="n">
        <f aca="false">L34-L35</f>
        <v>42097</v>
      </c>
      <c r="M37" s="28" t="n">
        <f aca="false">M34-M35</f>
        <v>29578</v>
      </c>
      <c r="N37" s="28" t="n">
        <f aca="false">N34-N35</f>
        <v>29789</v>
      </c>
      <c r="O37" s="28" t="n">
        <f aca="false">O34-O35</f>
        <v>28192.5682396</v>
      </c>
      <c r="P37" s="29" t="n">
        <f aca="false">P34-P35</f>
        <v>129656.5682396</v>
      </c>
      <c r="Q37" s="28" t="n">
        <f aca="false">Q34-Q35</f>
        <v>41600.014582</v>
      </c>
      <c r="R37" s="28" t="n">
        <f aca="false">R34-R35</f>
        <v>29044.099224</v>
      </c>
      <c r="S37" s="28" t="n">
        <f aca="false">S34-S35</f>
        <v>28108.99117002</v>
      </c>
      <c r="T37" s="28" t="n">
        <f aca="false">T34-T35</f>
        <v>30114.442802545</v>
      </c>
      <c r="U37" s="29" t="n">
        <f aca="false">U34-U35</f>
        <v>128867.547778565</v>
      </c>
      <c r="V37" s="28" t="n">
        <f aca="false">V34-V35</f>
        <v>44484.0114130554</v>
      </c>
      <c r="W37" s="28" t="n">
        <f aca="false">W34-W35</f>
        <v>31179.152506388</v>
      </c>
      <c r="X37" s="28" t="n">
        <f aca="false">X34-X35</f>
        <v>30437.7069935805</v>
      </c>
      <c r="Y37" s="28" t="n">
        <f aca="false">Y34-Y35</f>
        <v>32591.1675988645</v>
      </c>
      <c r="Z37" s="29" t="n">
        <f aca="false">Z34-Z35</f>
        <v>138692.038511888</v>
      </c>
    </row>
    <row r="38" customFormat="false" ht="15" hidden="false" customHeight="false" outlineLevel="0" collapsed="false">
      <c r="A38" s="0" t="s">
        <v>111</v>
      </c>
      <c r="B38" s="30" t="n">
        <f aca="false">B37/B11</f>
        <v>0.283637884173113</v>
      </c>
      <c r="C38" s="30" t="n">
        <f aca="false">C37/C11</f>
        <v>0.260443180941677</v>
      </c>
      <c r="D38" s="30" t="n">
        <f aca="false">D37/D11</f>
        <v>0.250043718012987</v>
      </c>
      <c r="E38" s="30" t="n">
        <f aca="false">E37/E11</f>
        <v>0.155230169598652</v>
      </c>
      <c r="F38" s="31" t="n">
        <f aca="false">F37/F11</f>
        <v>0.239712557699439</v>
      </c>
      <c r="G38" s="30" t="n">
        <f aca="false">G37/G11</f>
        <v>0.292276749798874</v>
      </c>
      <c r="H38" s="30" t="n">
        <f aca="false">H37/H11</f>
        <v>0.25986010759341</v>
      </c>
      <c r="I38" s="30" t="n">
        <f aca="false">I37/I11</f>
        <v>0.249202433110724</v>
      </c>
      <c r="J38" s="30" t="n">
        <f aca="false">J37/J11</f>
        <v>0.268049889719517</v>
      </c>
      <c r="K38" s="31" t="n">
        <f aca="false">K37/K11</f>
        <v>0.269150641218182</v>
      </c>
      <c r="L38" s="30" t="n">
        <f aca="false">L37/L11</f>
        <v>0.292836472912435</v>
      </c>
      <c r="M38" s="30" t="n">
        <f aca="false">M37/M11</f>
        <v>0.266027485969204</v>
      </c>
      <c r="N38" s="30" t="n">
        <f aca="false">N37/N11</f>
        <v>0.272252026650338</v>
      </c>
      <c r="O38" s="30" t="n">
        <f aca="false">O37/O11</f>
        <v>0.250307979858569</v>
      </c>
      <c r="P38" s="31" t="n">
        <f aca="false">P37/P11</f>
        <v>0.271823246898269</v>
      </c>
      <c r="Q38" s="30" t="n">
        <f aca="false">Q37/Q11</f>
        <v>0.270337088669429</v>
      </c>
      <c r="R38" s="30" t="n">
        <f aca="false">R37/R11</f>
        <v>0.244380374717538</v>
      </c>
      <c r="S38" s="30" t="n">
        <f aca="false">S37/S11</f>
        <v>0.24111643549713</v>
      </c>
      <c r="T38" s="30" t="n">
        <f aca="false">T37/T11</f>
        <v>0.250915459914447</v>
      </c>
      <c r="U38" s="31" t="n">
        <f aca="false">U37/U11</f>
        <v>0.253015492075977</v>
      </c>
      <c r="V38" s="30" t="n">
        <f aca="false">V37/V11</f>
        <v>0.271501120178066</v>
      </c>
      <c r="W38" s="30" t="n">
        <f aca="false">W37/W11</f>
        <v>0.246472123675042</v>
      </c>
      <c r="X38" s="30" t="n">
        <f aca="false">X37/X11</f>
        <v>0.245256219927027</v>
      </c>
      <c r="Y38" s="30" t="n">
        <f aca="false">Y37/Y11</f>
        <v>0.255052158664094</v>
      </c>
      <c r="Z38" s="31" t="n">
        <f aca="false">Z37/Z11</f>
        <v>0.255778694837219</v>
      </c>
    </row>
    <row r="39" customFormat="false" ht="15" hidden="false" customHeight="false" outlineLevel="0" collapsed="false">
      <c r="F39" s="32"/>
      <c r="K39" s="32"/>
      <c r="P39" s="32"/>
      <c r="U39" s="32"/>
      <c r="Z39" s="32"/>
    </row>
    <row r="40" customFormat="false" ht="15" hidden="false" customHeight="false" outlineLevel="0" collapsed="false">
      <c r="A40" s="8" t="s">
        <v>112</v>
      </c>
      <c r="B40" s="9"/>
      <c r="C40" s="9"/>
      <c r="D40" s="9"/>
      <c r="E40" s="9"/>
      <c r="F40" s="9"/>
      <c r="G40" s="9"/>
      <c r="H40" s="9"/>
      <c r="I40" s="9"/>
      <c r="J40" s="9"/>
      <c r="K40" s="9"/>
      <c r="L40" s="9"/>
      <c r="M40" s="9"/>
      <c r="N40" s="9"/>
      <c r="O40" s="9"/>
      <c r="P40" s="9"/>
      <c r="Q40" s="9"/>
      <c r="R40" s="9"/>
      <c r="S40" s="9"/>
      <c r="T40" s="9"/>
      <c r="U40" s="9"/>
      <c r="V40" s="9"/>
      <c r="W40" s="9"/>
      <c r="X40" s="9"/>
      <c r="Y40" s="9"/>
      <c r="Z40" s="9"/>
    </row>
    <row r="41" customFormat="false" ht="15" hidden="false" customHeight="false" outlineLevel="0" collapsed="false">
      <c r="A41" s="0" t="s">
        <v>113</v>
      </c>
      <c r="B41" s="33" t="n">
        <f aca="false">B37/B44</f>
        <v>2.18675166087322</v>
      </c>
      <c r="C41" s="33" t="n">
        <f aca="false">C37/C44</f>
        <v>1.53422179202506</v>
      </c>
      <c r="D41" s="33" t="n">
        <f aca="false">D37/D44</f>
        <v>1.40297436059123</v>
      </c>
      <c r="E41" s="33" t="n">
        <f aca="false">E37/E44</f>
        <v>0.971263492791651</v>
      </c>
      <c r="F41" s="34" t="n">
        <f aca="false">F37/F44</f>
        <v>6.10905427002762</v>
      </c>
      <c r="G41" s="33" t="n">
        <f aca="false">G37/G44</f>
        <v>2.40887580226239</v>
      </c>
      <c r="H41" s="33" t="n">
        <f aca="false">H37/H44</f>
        <v>1.65265202631278</v>
      </c>
      <c r="I41" s="33" t="n">
        <f aca="false">I37/I44</f>
        <v>1.57244710856676</v>
      </c>
      <c r="J41" s="33" t="n">
        <f aca="false">J37/J44</f>
        <v>1.85389340902622</v>
      </c>
      <c r="K41" s="34" t="n">
        <f aca="false">K37/K44</f>
        <v>7.49305962961266</v>
      </c>
      <c r="L41" s="33" t="n">
        <f aca="false">L37/L44</f>
        <v>2.85439035844341</v>
      </c>
      <c r="M41" s="33" t="n">
        <f aca="false">M37/M44</f>
        <v>2.01577316261574</v>
      </c>
      <c r="N41" s="33" t="n">
        <f aca="false">N37/N44</f>
        <v>2.03253114230174</v>
      </c>
      <c r="O41" s="33" t="n">
        <f aca="false">O37/O44</f>
        <v>1.93283764512552</v>
      </c>
      <c r="P41" s="34" t="n">
        <f aca="false">P37/P44</f>
        <v>8.84067536129327</v>
      </c>
      <c r="Q41" s="33" t="n">
        <f aca="false">Q37/Q44</f>
        <v>2.86641697213038</v>
      </c>
      <c r="R41" s="33" t="n">
        <f aca="false">R37/R44</f>
        <v>2.0113561860741</v>
      </c>
      <c r="S41" s="33" t="n">
        <f aca="false">S37/S44</f>
        <v>1.9564176155756</v>
      </c>
      <c r="T41" s="33" t="n">
        <f aca="false">T37/T44</f>
        <v>2.10657250310781</v>
      </c>
      <c r="U41" s="34" t="n">
        <f aca="false">U37/U44</f>
        <v>8.94664907511961</v>
      </c>
      <c r="V41" s="33" t="n">
        <f aca="false">V37/V44</f>
        <v>3.12745333586916</v>
      </c>
      <c r="W41" s="33" t="n">
        <f aca="false">W37/W44</f>
        <v>2.20311191518308</v>
      </c>
      <c r="X41" s="33" t="n">
        <f aca="false">X37/X44</f>
        <v>2.16157140117822</v>
      </c>
      <c r="Y41" s="33" t="n">
        <f aca="false">Y37/Y44</f>
        <v>2.32617838998443</v>
      </c>
      <c r="Z41" s="34" t="n">
        <f aca="false">Z37/Z44</f>
        <v>9.82448136182845</v>
      </c>
    </row>
    <row r="42" customFormat="false" ht="15" hidden="false" customHeight="false" outlineLevel="0" collapsed="false">
      <c r="A42" s="0" t="s">
        <v>114</v>
      </c>
      <c r="B42" s="33" t="n">
        <f aca="false">B37/B45</f>
        <v>2.17736288587507</v>
      </c>
      <c r="C42" s="33" t="n">
        <f aca="false">C37/C45</f>
        <v>1.52838310762912</v>
      </c>
      <c r="D42" s="33" t="n">
        <f aca="false">D37/D45</f>
        <v>1.39742998760439</v>
      </c>
      <c r="E42" s="33" t="n">
        <f aca="false">E37/E45</f>
        <v>0.966748154036518</v>
      </c>
      <c r="F42" s="34" t="n">
        <f aca="false">F37/F45</f>
        <v>6.08355562720621</v>
      </c>
      <c r="G42" s="33" t="n">
        <f aca="false">G37/G45</f>
        <v>2.39788289315495</v>
      </c>
      <c r="H42" s="33" t="n">
        <f aca="false">H37/H45</f>
        <v>1.64584093405657</v>
      </c>
      <c r="I42" s="33" t="n">
        <f aca="false">I37/I45</f>
        <v>1.56768259197324</v>
      </c>
      <c r="J42" s="33" t="n">
        <f aca="false">J37/J45</f>
        <v>1.84786884531206</v>
      </c>
      <c r="K42" s="34" t="n">
        <f aca="false">K37/K45</f>
        <v>7.46499604307225</v>
      </c>
      <c r="L42" s="33" t="n">
        <f aca="false">L37/L45</f>
        <v>2.8424029780243</v>
      </c>
      <c r="M42" s="33" t="n">
        <f aca="false">M37/M45</f>
        <v>2.00857361733325</v>
      </c>
      <c r="N42" s="33" t="n">
        <f aca="false">N37/N45</f>
        <v>2.02444144879575</v>
      </c>
      <c r="O42" s="33" t="n">
        <f aca="false">O37/O45</f>
        <v>1.92557684836444</v>
      </c>
      <c r="P42" s="34" t="n">
        <f aca="false">P37/P45</f>
        <v>8.80639485590014</v>
      </c>
      <c r="Q42" s="33" t="n">
        <f aca="false">Q37/Q45</f>
        <v>2.85559503041083</v>
      </c>
      <c r="R42" s="33" t="n">
        <f aca="false">R37/R45</f>
        <v>2.00372430263329</v>
      </c>
      <c r="S42" s="33" t="n">
        <f aca="false">S37/S45</f>
        <v>1.94895688722818</v>
      </c>
      <c r="T42" s="33" t="n">
        <f aca="false">T37/T45</f>
        <v>2.09849879595112</v>
      </c>
      <c r="U42" s="34" t="n">
        <f aca="false">U37/U45</f>
        <v>8.91261728564775</v>
      </c>
      <c r="V42" s="33" t="n">
        <f aca="false">V37/V45</f>
        <v>3.11540674004577</v>
      </c>
      <c r="W42" s="33" t="n">
        <f aca="false">W37/W45</f>
        <v>2.19458313385224</v>
      </c>
      <c r="X42" s="33" t="n">
        <f aca="false">X37/X45</f>
        <v>2.15316138317674</v>
      </c>
      <c r="Y42" s="33" t="n">
        <f aca="false">Y37/Y45</f>
        <v>2.31708245650191</v>
      </c>
      <c r="Z42" s="34" t="n">
        <f aca="false">Z37/Z45</f>
        <v>9.78635356654509</v>
      </c>
    </row>
    <row r="43" customFormat="false" ht="15" hidden="false" customHeight="false" outlineLevel="0" collapsed="false">
      <c r="F43" s="32"/>
      <c r="K43" s="32"/>
      <c r="P43" s="32"/>
      <c r="U43" s="32"/>
      <c r="Z43" s="32"/>
    </row>
    <row r="44" customFormat="false" ht="15" hidden="false" customHeight="false" outlineLevel="0" collapsed="false">
      <c r="A44" s="0" t="s">
        <v>115</v>
      </c>
      <c r="B44" s="35" t="n">
        <v>15509.763</v>
      </c>
      <c r="C44" s="35" t="n">
        <v>15405.856</v>
      </c>
      <c r="D44" s="35" t="n">
        <v>15287.521</v>
      </c>
      <c r="E44" s="35" t="n">
        <v>15171.99</v>
      </c>
      <c r="F44" s="36" t="n">
        <f aca="false">AVERAGE(B44:E44)</f>
        <v>15343.7825</v>
      </c>
      <c r="G44" s="35" t="n">
        <v>15081.724</v>
      </c>
      <c r="H44" s="35" t="n">
        <v>14994.082</v>
      </c>
      <c r="I44" s="35" t="n">
        <v>14902.886</v>
      </c>
      <c r="J44" s="35" t="n">
        <v>14815.307</v>
      </c>
      <c r="K44" s="36" t="n">
        <f aca="false">AVERAGE(G44:J44)</f>
        <v>14948.49975</v>
      </c>
      <c r="L44" s="35" t="n">
        <v>14748.158</v>
      </c>
      <c r="M44" s="35" t="n">
        <v>14673.278</v>
      </c>
      <c r="N44" s="35" t="n">
        <v>14656.11</v>
      </c>
      <c r="O44" s="35" t="n">
        <f aca="false">O45-Assumptions!B22</f>
        <v>14586.10262</v>
      </c>
      <c r="P44" s="36" t="n">
        <f aca="false">AVERAGE(L44:O44)</f>
        <v>14665.912155</v>
      </c>
      <c r="Q44" s="35" t="n">
        <f aca="false">Q45-Assumptions!C22</f>
        <v>14512.8971069</v>
      </c>
      <c r="R44" s="35" t="n">
        <f aca="false">R45-Assumptions!D22</f>
        <v>14440.0576213655</v>
      </c>
      <c r="S44" s="35" t="n">
        <f aca="false">S45-Assumptions!E22</f>
        <v>14367.5823332587</v>
      </c>
      <c r="T44" s="35" t="n">
        <f aca="false">T45-Assumptions!F22</f>
        <v>14295.4694215924</v>
      </c>
      <c r="U44" s="36" t="n">
        <f aca="false">AVERAGE(Q44:T44)</f>
        <v>14404.0016207791</v>
      </c>
      <c r="V44" s="35" t="n">
        <f aca="false">V45-Assumptions!G22</f>
        <v>14223.7170744844</v>
      </c>
      <c r="W44" s="35" t="n">
        <f aca="false">W45-Assumptions!H22</f>
        <v>14152.323489112</v>
      </c>
      <c r="X44" s="35" t="n">
        <f aca="false">X45-Assumptions!I22</f>
        <v>14081.2868716664</v>
      </c>
      <c r="Y44" s="35" t="n">
        <f aca="false">Y45-Assumptions!J22</f>
        <v>14010.6054373081</v>
      </c>
      <c r="Z44" s="36" t="n">
        <f aca="false">AVERAGE(V44:Y44)</f>
        <v>14116.9832181427</v>
      </c>
    </row>
    <row r="45" customFormat="false" ht="15" hidden="false" customHeight="false" outlineLevel="0" collapsed="false">
      <c r="A45" s="0" t="s">
        <v>116</v>
      </c>
      <c r="B45" s="35" t="n">
        <v>15576.641</v>
      </c>
      <c r="C45" s="35" t="n">
        <v>15464.709</v>
      </c>
      <c r="D45" s="35" t="n">
        <v>15348.175</v>
      </c>
      <c r="E45" s="35" t="n">
        <v>15242.853</v>
      </c>
      <c r="F45" s="36" t="n">
        <f aca="false">AVERAGE(B45:E45)</f>
        <v>15408.0945</v>
      </c>
      <c r="G45" s="35" t="n">
        <v>15150.865</v>
      </c>
      <c r="H45" s="35" t="n">
        <v>15056.133</v>
      </c>
      <c r="I45" s="35" t="n">
        <v>14948.179</v>
      </c>
      <c r="J45" s="35" t="n">
        <v>14863.609</v>
      </c>
      <c r="K45" s="36" t="n">
        <f aca="false">AVERAGE(G45:J45)</f>
        <v>15004.6965</v>
      </c>
      <c r="L45" s="35" t="n">
        <v>14810.356</v>
      </c>
      <c r="M45" s="35" t="n">
        <v>14725.873</v>
      </c>
      <c r="N45" s="35" t="n">
        <v>14714.676</v>
      </c>
      <c r="O45" s="35" t="n">
        <f aca="false">N45*(1+Assumptions!B21)</f>
        <v>14641.10262</v>
      </c>
      <c r="P45" s="36" t="n">
        <f aca="false">AVERAGE(L45:O45)</f>
        <v>14723.001905</v>
      </c>
      <c r="Q45" s="35" t="n">
        <f aca="false">O45*(1+Assumptions!C21)</f>
        <v>14567.8971069</v>
      </c>
      <c r="R45" s="35" t="n">
        <f aca="false">Q45*(1+Assumptions!D21)</f>
        <v>14495.0576213655</v>
      </c>
      <c r="S45" s="35" t="n">
        <f aca="false">R45*(1+Assumptions!E21)</f>
        <v>14422.5823332587</v>
      </c>
      <c r="T45" s="35" t="n">
        <f aca="false">S45*(1+Assumptions!F21)</f>
        <v>14350.4694215924</v>
      </c>
      <c r="U45" s="36" t="n">
        <f aca="false">AVERAGE(Q45:T45)</f>
        <v>14459.0016207791</v>
      </c>
      <c r="V45" s="35" t="n">
        <f aca="false">T45*(1+Assumptions!G21)</f>
        <v>14278.7170744844</v>
      </c>
      <c r="W45" s="35" t="n">
        <f aca="false">V45*(1+Assumptions!H21)</f>
        <v>14207.323489112</v>
      </c>
      <c r="X45" s="35" t="n">
        <f aca="false">W45*(1+Assumptions!I21)</f>
        <v>14136.2868716664</v>
      </c>
      <c r="Y45" s="35" t="n">
        <f aca="false">X45*(1+Assumptions!J21)</f>
        <v>14065.6054373081</v>
      </c>
      <c r="Z45" s="36" t="n">
        <f aca="false">AVERAGE(V45:Y45)</f>
        <v>14171.9832181427</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2026-08-17T17:51:57Z</dcterms:created>
  <dc:creator>openpyxl</dc:creator>
  <dc:description/>
  <dc:language>en-US</dc:language>
  <cp:lastModifiedBy/>
  <dcterms:modified xsi:type="dcterms:W3CDTF">2026-08-17T17:51:57Z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