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t>Sources: Apple Q1-Q3 FY2026 10-Q/8-K press releases (Jan, Apr, Jul 2026); FY2025 10-K/quarterly press releases. Q4 FY2026 uses company guidance (revenue +9-11% YoY, GM 47-48%, OpEx $19.1-19.4B). FY2027-FY2028 are analyst-style projections: revenue growth decelerating to 8% then 7% YoY, gross margin gradually improving on Services mix shift, R&amp;D growing faster than SG&amp;A reflecting AI infrastructure investment, tax rate held at 16%, diluted share count declining ~1.5%/yr on buybacks. Blue cells = hardcoded inputs (actuals or assumptions); black = formulas.</t>
        </r>
      </text>
    </comment>
  </commentList>
</comments>
</file>

<file path=xl/sharedStrings.xml><?xml version="1.0" encoding="utf-8"?>
<sst xmlns="http://schemas.openxmlformats.org/spreadsheetml/2006/main" count="40" uniqueCount="40">
  <si>
    <t>Apple Inc. (AAPL) — Income Statement Forecast, FY2025A–FY2028E (Quarterly)</t>
  </si>
  <si>
    <t>$ in millions, except per-share data. Fiscal year ends last Saturday of September. A = Actual reported; E = Estimate/forecast.</t>
  </si>
  <si>
    <t xml:space="preserve">Q1 FY25A
(Dec-24)</t>
  </si>
  <si>
    <t xml:space="preserve">Q2 FY25A
(Mar-25)</t>
  </si>
  <si>
    <t xml:space="preserve">Q3 FY25A
(Jun-25)</t>
  </si>
  <si>
    <t xml:space="preserve">Q4 FY25A
(Sep-25)</t>
  </si>
  <si>
    <t xml:space="preserve">FY2025A
Total</t>
  </si>
  <si>
    <t xml:space="preserve">Q1 FY26A
(Dec-25)</t>
  </si>
  <si>
    <t xml:space="preserve">Q2 FY26A
(Mar-26)</t>
  </si>
  <si>
    <t xml:space="preserve">Q3 FY26A
(Jun-26)</t>
  </si>
  <si>
    <t xml:space="preserve">Q4 FY26E
(Sep-26)</t>
  </si>
  <si>
    <t xml:space="preserve">FY2026E
Total</t>
  </si>
  <si>
    <t xml:space="preserve">Q1 FY27E
(Dec-26)</t>
  </si>
  <si>
    <t xml:space="preserve">Q2 FY27E
(Mar-27)</t>
  </si>
  <si>
    <t xml:space="preserve">Q3 FY27E
(Jun-27)</t>
  </si>
  <si>
    <t xml:space="preserve">Q4 FY27E
(Sep-27)</t>
  </si>
  <si>
    <t xml:space="preserve">FY2027E
Total</t>
  </si>
  <si>
    <t xml:space="preserve">Q1 FY28E
(Dec-27)</t>
  </si>
  <si>
    <t xml:space="preserve">Q2 FY28E
(Mar-28)</t>
  </si>
  <si>
    <t xml:space="preserve">Q3 FY28E
(Jun-28)</t>
  </si>
  <si>
    <t xml:space="preserve">Q4 FY28E
(Sep-28)</t>
  </si>
  <si>
    <t xml:space="preserve">FY2028E
Total</t>
  </si>
  <si>
    <t>Net sales</t>
  </si>
  <si>
    <t>YoY growth %</t>
  </si>
  <si>
    <t>Cost of sales</t>
  </si>
  <si>
    <t>Gross profit</t>
  </si>
  <si>
    <t>Gross margin %</t>
  </si>
  <si>
    <t>Research &amp; development</t>
  </si>
  <si>
    <t>Selling, general &amp; administrative</t>
  </si>
  <si>
    <t>Total operating expenses</t>
  </si>
  <si>
    <t>Operating income</t>
  </si>
  <si>
    <t>Operating margin %</t>
  </si>
  <si>
    <t>Other income/(expense), net</t>
  </si>
  <si>
    <t>Income before taxes</t>
  </si>
  <si>
    <t>Provision for income taxes</t>
  </si>
  <si>
    <t>Effective tax rate %</t>
  </si>
  <si>
    <t>Net income</t>
  </si>
  <si>
    <t>Net margin %</t>
  </si>
  <si>
    <t>Diluted earnings per share</t>
  </si>
  <si>
    <t>Diluted shares outstanding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</si>
</sst>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(#,##0);-"/>
    <numFmt numFmtId="165" formatCode="0.0%;(0.0%);-"/>
    <numFmt numFmtId="166" formatCode="$0.00"/>
  </numFmts>
  <fonts count="7" x14ac:knownFonts="1">
    <font>
      <color theme="1"/>
      <family val="2"/>
      <scheme val="minor"/>
      <sz val="11"/>
      <name val="Calibri"/>
    </font>
    <font>
      <b/>
      <sz val="14"/>
      <name val="Calibri"/>
    </font>
    <font>
      <i/>
      <color rgb="FF555555"/>
      <sz val="9"/>
    </font>
    <font>
      <b/>
      <color rgb="FFFFFFFF"/>
    </font>
    <font>
      <name val="Calibri"/>
    </font>
    <font>
      <b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0B2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0" fontId="5" fillId="0" borderId="0" xfId="0" applyFont="1"/>
    <xf numFmtId="164" fontId="6" fillId="0" borderId="0" xfId="0" applyNumberFormat="1" applyFont="1"/>
    <xf numFmtId="166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2.142857142857146" customWidth="1"/>
    <col min="2" max="5" width="11.428571428571429" customWidth="1"/>
    <col min="6" max="6" width="12.857142857142858" customWidth="1"/>
    <col min="7" max="10" width="11.428571428571429" customWidth="1"/>
    <col min="11" max="11" width="12.857142857142858" customWidth="1"/>
    <col min="12" max="15" width="11.428571428571429" customWidth="1"/>
    <col min="16" max="16" width="12.857142857142858" customWidth="1"/>
    <col min="17" max="20" width="11.428571428571429" customWidth="1"/>
    <col min="21" max="21" width="12.857142857142858" customWidth="1"/>
  </cols>
  <sheetData>
    <row r="1" ht="18.004501125281323" customHeight="1" spans="1:1" x14ac:dyDescent="0.25">
      <c r="A1" s="1" t="s">
        <v>0</v>
      </c>
    </row>
    <row r="2" spans="1:1" x14ac:dyDescent="0.25">
      <c r="A2" s="2" t="s">
        <v>1</v>
      </c>
    </row>
    <row r="4" ht="30.00750187546887" customHeight="1" spans="1:21" x14ac:dyDescent="0.25">
      <c r="A4" s="3"/>
      <c r="B4" s="3" t="s">
        <v>2</v>
      </c>
      <c r="C4" s="3" t="s">
        <v>3</v>
      </c>
      <c r="D4" s="3" t="s">
        <v>4</v>
      </c>
      <c r="E4" s="3" t="s">
        <v>5</v>
      </c>
      <c r="F4" s="4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4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4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4" t="s">
        <v>21</v>
      </c>
    </row>
    <row r="6" spans="1:21" x14ac:dyDescent="0.25">
      <c r="A6" s="5" t="s">
        <v>22</v>
      </c>
      <c r="B6" s="6">
        <v>124300</v>
      </c>
      <c r="C6" s="6">
        <v>95400</v>
      </c>
      <c r="D6" s="6">
        <v>94040</v>
      </c>
      <c r="E6" s="6">
        <v>102470</v>
      </c>
      <c r="F6" s="6">
        <f>SUM(B6:E6)</f>
        <v>416210</v>
      </c>
      <c r="G6" s="6">
        <v>143800</v>
      </c>
      <c r="H6" s="6">
        <v>111200</v>
      </c>
      <c r="I6" s="6">
        <v>109417</v>
      </c>
      <c r="J6" s="6">
        <v>112717</v>
      </c>
      <c r="K6" s="6">
        <f>SUM(G6:J6)</f>
        <v>477134</v>
      </c>
      <c r="L6" s="6">
        <v>155304</v>
      </c>
      <c r="M6" s="6">
        <v>120096</v>
      </c>
      <c r="N6" s="6">
        <v>118170</v>
      </c>
      <c r="O6" s="6">
        <v>121734</v>
      </c>
      <c r="P6" s="6">
        <f>SUM(L6:O6)</f>
        <v>515304</v>
      </c>
      <c r="Q6" s="6">
        <v>166175</v>
      </c>
      <c r="R6" s="6">
        <v>128503</v>
      </c>
      <c r="S6" s="6">
        <v>126442</v>
      </c>
      <c r="T6" s="6">
        <v>130255</v>
      </c>
      <c r="U6" s="6">
        <f>SUM(Q6:T6)</f>
        <v>551375</v>
      </c>
    </row>
    <row r="7" spans="1:21" x14ac:dyDescent="0.25">
      <c r="A7" s="5" t="s">
        <v>23</v>
      </c>
      <c r="B7" s="7"/>
      <c r="C7" s="7"/>
      <c r="D7" s="7"/>
      <c r="E7" s="7"/>
      <c r="F7" s="7"/>
      <c r="G7" s="7">
        <f>G6/B6-1</f>
        <v>0.15687851971037814</v>
      </c>
      <c r="H7" s="7">
        <f>H6/C6-1</f>
        <v>0.16561844863731645</v>
      </c>
      <c r="I7" s="7">
        <f>I6/D6-1</f>
        <v>0.16351552530837932</v>
      </c>
      <c r="J7" s="7">
        <f>J6/E6-1</f>
        <v>0.10000000000000009</v>
      </c>
      <c r="K7" s="7">
        <f>K6/F6-1</f>
        <v>0.1463780303212321</v>
      </c>
      <c r="L7" s="7">
        <f>L6/G6-1</f>
        <v>0.08000000000000007</v>
      </c>
      <c r="M7" s="7">
        <f>M6/H6-1</f>
        <v>0.08000000000000007</v>
      </c>
      <c r="N7" s="7">
        <f>N6/I6-1</f>
        <v>0.07999670983485196</v>
      </c>
      <c r="O7" s="7">
        <f>O6/J6-1</f>
        <v>0.07999680616056137</v>
      </c>
      <c r="P7" s="7">
        <f>P6/K6-1</f>
        <v>0.07999849098995249</v>
      </c>
      <c r="Q7" s="7">
        <f>Q6/L6-1</f>
        <v>0.0699981970844279</v>
      </c>
      <c r="R7" s="7">
        <f>R6/M6-1</f>
        <v>0.07000233146815882</v>
      </c>
      <c r="S7" s="7">
        <f>S6/N6-1</f>
        <v>0.07000084623847003</v>
      </c>
      <c r="T7" s="7">
        <f>T6/O6-1</f>
        <v>0.06999687843987701</v>
      </c>
      <c r="U7" s="7">
        <f>U6/P6-1</f>
        <v>0.06999945663142526</v>
      </c>
    </row>
    <row r="8" spans="1:1" x14ac:dyDescent="0.25">
      <c r="A8" s="5"/>
    </row>
    <row r="9" spans="1:21" x14ac:dyDescent="0.25">
      <c r="A9" s="5" t="s">
        <v>24</v>
      </c>
      <c r="B9" s="6">
        <f>B6*(1-B11)</f>
        <v>66003.3</v>
      </c>
      <c r="C9" s="6">
        <f>C6*(1-C11)</f>
        <v>50466.600000000006</v>
      </c>
      <c r="D9" s="6">
        <f>D6*(1-D11)</f>
        <v>50311.399999999994</v>
      </c>
      <c r="E9" s="6">
        <f>E6*(1-E11)</f>
        <v>54104.16</v>
      </c>
      <c r="F9" s="6">
        <f>SUM(B9:E9)</f>
        <v>220885.46</v>
      </c>
      <c r="G9" s="6">
        <f>G6*(1-G11)</f>
        <v>74488.40000000001</v>
      </c>
      <c r="H9" s="6">
        <f>H6*(1-H11)</f>
        <v>56378.4</v>
      </c>
      <c r="I9" s="6">
        <f>I6*(1-I11)</f>
        <v>54599.083</v>
      </c>
      <c r="J9" s="6">
        <f>J6*(1-J11)</f>
        <v>59176.425</v>
      </c>
      <c r="K9" s="6">
        <f>SUM(G9:J9)</f>
        <v>244642.30800000002</v>
      </c>
      <c r="L9" s="6">
        <f>L6*(1-L11)</f>
        <v>79981.56</v>
      </c>
      <c r="M9" s="6">
        <f>M6*(1-M11)</f>
        <v>61248.96</v>
      </c>
      <c r="N9" s="6">
        <f>N6*(1-N11)</f>
        <v>59675.85</v>
      </c>
      <c r="O9" s="6">
        <f>O6*(1-O11)</f>
        <v>63301.68</v>
      </c>
      <c r="P9" s="6">
        <f>SUM(L9:O9)</f>
        <v>264208.05</v>
      </c>
      <c r="Q9" s="6">
        <f>Q6*(1-Q11)</f>
        <v>84749.25</v>
      </c>
      <c r="R9" s="6">
        <f>R6*(1-R11)</f>
        <v>64894.015</v>
      </c>
      <c r="S9" s="6">
        <f>S6*(1-S11)</f>
        <v>63221</v>
      </c>
      <c r="T9" s="6">
        <f>T6*(1-T11)</f>
        <v>67081.325</v>
      </c>
      <c r="U9" s="6">
        <f>SUM(Q9:T9)</f>
        <v>279945.59</v>
      </c>
    </row>
    <row r="10" spans="1:21" x14ac:dyDescent="0.25">
      <c r="A10" s="8" t="s">
        <v>25</v>
      </c>
      <c r="B10" s="6">
        <f>B6-B9</f>
        <v>58296.7</v>
      </c>
      <c r="C10" s="6">
        <f>C6-C9</f>
        <v>44933.399999999994</v>
      </c>
      <c r="D10" s="6">
        <f>D6-D9</f>
        <v>43728.600000000006</v>
      </c>
      <c r="E10" s="6">
        <f>E6-E9</f>
        <v>48365.84</v>
      </c>
      <c r="F10" s="6">
        <f>SUM(B10:E10)</f>
        <v>195324.54</v>
      </c>
      <c r="G10" s="6">
        <f>G6-G9</f>
        <v>69311.59999999999</v>
      </c>
      <c r="H10" s="6">
        <f>H6-H9</f>
        <v>54821.6</v>
      </c>
      <c r="I10" s="6">
        <f>I6-I9</f>
        <v>54817.917</v>
      </c>
      <c r="J10" s="6">
        <f>J6-J9</f>
        <v>53540.575</v>
      </c>
      <c r="K10" s="6">
        <f>SUM(G10:J10)</f>
        <v>232491.69199999998</v>
      </c>
      <c r="L10" s="6">
        <f>L6-L9</f>
        <v>75322.44</v>
      </c>
      <c r="M10" s="6">
        <f>M6-M9</f>
        <v>58847.04</v>
      </c>
      <c r="N10" s="6">
        <f>N6-N9</f>
        <v>58494.15</v>
      </c>
      <c r="O10" s="6">
        <f>O6-O9</f>
        <v>58432.32</v>
      </c>
      <c r="P10" s="6">
        <f>SUM(L10:O10)</f>
        <v>251095.95</v>
      </c>
      <c r="Q10" s="6">
        <f>Q6-Q9</f>
        <v>81425.75</v>
      </c>
      <c r="R10" s="6">
        <f>R6-R9</f>
        <v>63608.985</v>
      </c>
      <c r="S10" s="6">
        <f>S6-S9</f>
        <v>63221</v>
      </c>
      <c r="T10" s="6">
        <f>T6-T9</f>
        <v>63173.675</v>
      </c>
      <c r="U10" s="6">
        <f>SUM(Q10:T10)</f>
        <v>271429.41</v>
      </c>
    </row>
    <row r="11" spans="1:21" x14ac:dyDescent="0.25">
      <c r="A11" s="5" t="s">
        <v>26</v>
      </c>
      <c r="B11" s="7">
        <v>0.469</v>
      </c>
      <c r="C11" s="7">
        <v>0.471</v>
      </c>
      <c r="D11" s="7">
        <v>0.465</v>
      </c>
      <c r="E11" s="7">
        <v>0.472</v>
      </c>
      <c r="F11" s="7">
        <f>F10/F6</f>
        <v>0.4692932413925663</v>
      </c>
      <c r="G11" s="7">
        <v>0.482</v>
      </c>
      <c r="H11" s="7">
        <v>0.493</v>
      </c>
      <c r="I11" s="7">
        <v>0.501</v>
      </c>
      <c r="J11" s="7">
        <v>0.475</v>
      </c>
      <c r="K11" s="7">
        <f>K10/K6</f>
        <v>0.4872670822033223</v>
      </c>
      <c r="L11" s="7">
        <v>0.485</v>
      </c>
      <c r="M11" s="7">
        <v>0.49</v>
      </c>
      <c r="N11" s="7">
        <v>0.495</v>
      </c>
      <c r="O11" s="7">
        <v>0.48</v>
      </c>
      <c r="P11" s="7">
        <f>P10/P6</f>
        <v>0.4872773159144893</v>
      </c>
      <c r="Q11" s="7">
        <v>0.49</v>
      </c>
      <c r="R11" s="7">
        <v>0.495</v>
      </c>
      <c r="S11" s="7">
        <v>0.5</v>
      </c>
      <c r="T11" s="7">
        <v>0.485</v>
      </c>
      <c r="U11" s="7">
        <f>U10/U6</f>
        <v>0.49227732486964404</v>
      </c>
    </row>
    <row r="12" spans="1:1" x14ac:dyDescent="0.25">
      <c r="A12" s="5"/>
    </row>
    <row r="13" spans="1:21" x14ac:dyDescent="0.25">
      <c r="A13" s="5" t="s">
        <v>27</v>
      </c>
      <c r="B13" s="6">
        <f>B15*0.55</f>
        <v>8297.85</v>
      </c>
      <c r="C13" s="6">
        <f>C15*0.55</f>
        <v>8453.5</v>
      </c>
      <c r="D13" s="6">
        <f>D15*0.55</f>
        <v>8686.150000000001</v>
      </c>
      <c r="E13" s="6">
        <f>E15*0.55</f>
        <v>8745</v>
      </c>
      <c r="F13" s="6">
        <f>SUM(B13:E13)</f>
        <v>34182.5</v>
      </c>
      <c r="G13" s="6">
        <f>G15*0.57</f>
        <v>10494.839999999998</v>
      </c>
      <c r="H13" s="6">
        <f>H15*0.57</f>
        <v>11048.88</v>
      </c>
      <c r="I13" s="6">
        <f>I15*0.57</f>
        <v>10897.259999999998</v>
      </c>
      <c r="J13" s="6">
        <f>J15*0.57</f>
        <v>10972.499999999998</v>
      </c>
      <c r="K13" s="6">
        <f>SUM(G13:J13)</f>
        <v>43413.479999999996</v>
      </c>
      <c r="L13" s="6">
        <f>L15*0.58</f>
        <v>12182.32</v>
      </c>
      <c r="M13" s="6">
        <f>M15*0.58</f>
        <v>12742.019999999999</v>
      </c>
      <c r="N13" s="6">
        <f>N15*0.58</f>
        <v>12639.939999999999</v>
      </c>
      <c r="O13" s="6">
        <f>O15*0.58</f>
        <v>12733.32</v>
      </c>
      <c r="P13" s="6">
        <f>SUM(L13:O13)</f>
        <v>50297.6</v>
      </c>
      <c r="Q13" s="6">
        <f>Q15*0.6</f>
        <v>14114.4</v>
      </c>
      <c r="R13" s="6">
        <f>R15*0.6</f>
        <v>14766</v>
      </c>
      <c r="S13" s="6">
        <f>S15*0.6</f>
        <v>14644.199999999999</v>
      </c>
      <c r="T13" s="6">
        <f>T15*0.6</f>
        <v>14751</v>
      </c>
      <c r="U13" s="6">
        <f>SUM(Q13:T13)</f>
        <v>58275.6</v>
      </c>
    </row>
    <row r="14" spans="1:21" x14ac:dyDescent="0.25">
      <c r="A14" s="5" t="s">
        <v>28</v>
      </c>
      <c r="B14" s="6">
        <f>B15-B13</f>
        <v>6789.15</v>
      </c>
      <c r="C14" s="6">
        <f>C15-C13</f>
        <v>6916.5</v>
      </c>
      <c r="D14" s="6">
        <f>D15-D13</f>
        <v>7106.8499999999985</v>
      </c>
      <c r="E14" s="6">
        <f>E15-E13</f>
        <v>7155</v>
      </c>
      <c r="F14" s="6">
        <f>SUM(B14:E14)</f>
        <v>27967.5</v>
      </c>
      <c r="G14" s="6">
        <f>G15-G13</f>
        <v>7917.160000000002</v>
      </c>
      <c r="H14" s="6">
        <f>H15-H13</f>
        <v>8335.12</v>
      </c>
      <c r="I14" s="6">
        <f>I15-I13</f>
        <v>8220.740000000002</v>
      </c>
      <c r="J14" s="6">
        <f>J15-J13</f>
        <v>8277.500000000002</v>
      </c>
      <c r="K14" s="6">
        <f>SUM(G14:J14)</f>
        <v>32750.520000000004</v>
      </c>
      <c r="L14" s="6">
        <f>L15-L13</f>
        <v>8821.68</v>
      </c>
      <c r="M14" s="6">
        <f>M15-M13</f>
        <v>9226.980000000001</v>
      </c>
      <c r="N14" s="6">
        <f>N15-N13</f>
        <v>9153.060000000001</v>
      </c>
      <c r="O14" s="6">
        <f>O15-O13</f>
        <v>9220.68</v>
      </c>
      <c r="P14" s="6">
        <f>SUM(L14:O14)</f>
        <v>36422.40000000001</v>
      </c>
      <c r="Q14" s="6">
        <f>Q15-Q13</f>
        <v>9409.6</v>
      </c>
      <c r="R14" s="6">
        <f>R15-R13</f>
        <v>9844</v>
      </c>
      <c r="S14" s="6">
        <f>S15-S13</f>
        <v>9762.800000000001</v>
      </c>
      <c r="T14" s="6">
        <f>T15-T13</f>
        <v>9834</v>
      </c>
      <c r="U14" s="6">
        <f>SUM(Q14:T14)</f>
        <v>38850.4</v>
      </c>
    </row>
    <row r="15" spans="1:21" x14ac:dyDescent="0.25">
      <c r="A15" s="8" t="s">
        <v>29</v>
      </c>
      <c r="B15" s="6">
        <v>15087</v>
      </c>
      <c r="C15" s="6">
        <v>15370</v>
      </c>
      <c r="D15" s="6">
        <v>15793</v>
      </c>
      <c r="E15" s="6">
        <v>15900</v>
      </c>
      <c r="F15" s="6">
        <f>SUM(B15:E15)</f>
        <v>62150</v>
      </c>
      <c r="G15" s="6">
        <v>18412</v>
      </c>
      <c r="H15" s="6">
        <v>19384</v>
      </c>
      <c r="I15" s="6">
        <v>19118</v>
      </c>
      <c r="J15" s="6">
        <v>19250</v>
      </c>
      <c r="K15" s="6">
        <f>SUM(G15:J15)</f>
        <v>76164</v>
      </c>
      <c r="L15" s="6">
        <v>21004</v>
      </c>
      <c r="M15" s="6">
        <v>21969</v>
      </c>
      <c r="N15" s="6">
        <v>21793</v>
      </c>
      <c r="O15" s="6">
        <v>21954</v>
      </c>
      <c r="P15" s="6">
        <f>SUM(L15:O15)</f>
        <v>86720</v>
      </c>
      <c r="Q15" s="6">
        <v>23524</v>
      </c>
      <c r="R15" s="6">
        <v>24610</v>
      </c>
      <c r="S15" s="6">
        <v>24407</v>
      </c>
      <c r="T15" s="6">
        <v>24585</v>
      </c>
      <c r="U15" s="6">
        <f>SUM(Q15:T15)</f>
        <v>97126</v>
      </c>
    </row>
    <row r="16" spans="1:21" x14ac:dyDescent="0.25">
      <c r="A16" s="8" t="s">
        <v>30</v>
      </c>
      <c r="B16" s="6">
        <f>B10-B15</f>
        <v>43209.7</v>
      </c>
      <c r="C16" s="6">
        <f>C10-C15</f>
        <v>29563.399999999994</v>
      </c>
      <c r="D16" s="6">
        <f>D10-D15</f>
        <v>27935.600000000006</v>
      </c>
      <c r="E16" s="6">
        <f>E10-E15</f>
        <v>32465.839999999997</v>
      </c>
      <c r="F16" s="6">
        <f>SUM(B16:E16)</f>
        <v>133174.53999999998</v>
      </c>
      <c r="G16" s="6">
        <f>G10-G15</f>
        <v>50899.59999999999</v>
      </c>
      <c r="H16" s="6">
        <f>H10-H15</f>
        <v>35437.6</v>
      </c>
      <c r="I16" s="6">
        <f>I10-I15</f>
        <v>35699.917</v>
      </c>
      <c r="J16" s="6">
        <f>J10-J15</f>
        <v>34290.575</v>
      </c>
      <c r="K16" s="6">
        <f>SUM(G16:J16)</f>
        <v>156327.69199999998</v>
      </c>
      <c r="L16" s="6">
        <f>L10-L15</f>
        <v>54318.44</v>
      </c>
      <c r="M16" s="6">
        <f>M10-M15</f>
        <v>36878.04</v>
      </c>
      <c r="N16" s="6">
        <f>N10-N15</f>
        <v>36701.15</v>
      </c>
      <c r="O16" s="6">
        <f>O10-O15</f>
        <v>36478.32</v>
      </c>
      <c r="P16" s="6">
        <f>SUM(L16:O16)</f>
        <v>164375.95</v>
      </c>
      <c r="Q16" s="6">
        <f>Q10-Q15</f>
        <v>57901.75</v>
      </c>
      <c r="R16" s="6">
        <f>R10-R15</f>
        <v>38998.985</v>
      </c>
      <c r="S16" s="6">
        <f>S10-S15</f>
        <v>38814</v>
      </c>
      <c r="T16" s="6">
        <f>T10-T15</f>
        <v>38588.675</v>
      </c>
      <c r="U16" s="6">
        <f>SUM(Q16:T16)</f>
        <v>174303.40999999997</v>
      </c>
    </row>
    <row r="17" spans="1:21" x14ac:dyDescent="0.25">
      <c r="A17" s="5" t="s">
        <v>31</v>
      </c>
      <c r="B17" s="7">
        <f>B16/B6</f>
        <v>0.34762429605792433</v>
      </c>
      <c r="C17" s="7">
        <f>C16/C6</f>
        <v>0.3098888888888888</v>
      </c>
      <c r="D17" s="7">
        <f>D16/D6</f>
        <v>0.2970608251807742</v>
      </c>
      <c r="E17" s="7">
        <f>E16/E6</f>
        <v>0.3168326339416414</v>
      </c>
      <c r="F17" s="7">
        <f>F16/F6</f>
        <v>0.3199695826625982</v>
      </c>
      <c r="G17" s="7">
        <f>G16/G6</f>
        <v>0.3539610570236439</v>
      </c>
      <c r="H17" s="7">
        <f>H16/H6</f>
        <v>0.31868345323741004</v>
      </c>
      <c r="I17" s="7">
        <f>I16/I6</f>
        <v>0.32627395194531017</v>
      </c>
      <c r="J17" s="7">
        <f>J16/J6</f>
        <v>0.3042183077974041</v>
      </c>
      <c r="K17" s="7">
        <f>K16/K6</f>
        <v>0.3276389693461375</v>
      </c>
      <c r="L17" s="7">
        <f>L16/L6</f>
        <v>0.34975557616030495</v>
      </c>
      <c r="M17" s="7">
        <f>M16/M6</f>
        <v>0.30707134292565946</v>
      </c>
      <c r="N17" s="7">
        <f>N16/N6</f>
        <v>0.3105792502327156</v>
      </c>
      <c r="O17" s="7">
        <f>O16/O6</f>
        <v>0.2996559712159298</v>
      </c>
      <c r="P17" s="7">
        <f>P16/P6</f>
        <v>0.31898830593203237</v>
      </c>
      <c r="Q17" s="7">
        <f>Q16/Q6</f>
        <v>0.34843839326011733</v>
      </c>
      <c r="R17" s="7">
        <f>R16/R6</f>
        <v>0.3034869613938974</v>
      </c>
      <c r="S17" s="7">
        <f>S16/S6</f>
        <v>0.3069707850239636</v>
      </c>
      <c r="T17" s="7">
        <f>T16/T6</f>
        <v>0.29625484626309934</v>
      </c>
      <c r="U17" s="7">
        <f>U16/U6</f>
        <v>0.3161249784629335</v>
      </c>
    </row>
    <row r="18" spans="1:1" x14ac:dyDescent="0.25">
      <c r="A18" s="5"/>
    </row>
    <row r="19" spans="1:21" x14ac:dyDescent="0.25">
      <c r="A19" s="5" t="s">
        <v>32</v>
      </c>
      <c r="B19" s="6">
        <f>B20-B16</f>
        <v>-159.57557767507387</v>
      </c>
      <c r="C19" s="6">
        <f>C20-C16</f>
        <v>-176.03182841568196</v>
      </c>
      <c r="D19" s="6">
        <f>D20-D16</f>
        <v>-166.90702689892714</v>
      </c>
      <c r="E19" s="6">
        <f>E20-E16</f>
        <v>73.56040289134035</v>
      </c>
      <c r="F19" s="6">
        <f>SUM(B19:E19)</f>
        <v>-428.9540300983426</v>
      </c>
      <c r="G19" s="6">
        <f>G20-G16</f>
        <v>-780.5523809523729</v>
      </c>
      <c r="H19" s="6">
        <f>H20-H16</f>
        <v>-199.50476190476184</v>
      </c>
      <c r="I19" s="6">
        <f>I20-I16</f>
        <v>-194.5534719904681</v>
      </c>
      <c r="J19" s="6">
        <v>-200</v>
      </c>
      <c r="K19" s="6">
        <f>SUM(G19:J19)</f>
        <v>-1374.6106148476028</v>
      </c>
      <c r="L19" s="6">
        <v>-200</v>
      </c>
      <c r="M19" s="6">
        <v>-200</v>
      </c>
      <c r="N19" s="6">
        <v>-200</v>
      </c>
      <c r="O19" s="6">
        <v>-200</v>
      </c>
      <c r="P19" s="6">
        <f>SUM(L19:O19)</f>
        <v>-800</v>
      </c>
      <c r="Q19" s="6">
        <v>-200</v>
      </c>
      <c r="R19" s="6">
        <v>-200</v>
      </c>
      <c r="S19" s="6">
        <v>-200</v>
      </c>
      <c r="T19" s="6">
        <v>-200</v>
      </c>
      <c r="U19" s="6">
        <f>SUM(Q19:T19)</f>
        <v>-800</v>
      </c>
    </row>
    <row r="20" spans="1:21" x14ac:dyDescent="0.25">
      <c r="A20" s="8" t="s">
        <v>33</v>
      </c>
      <c r="B20" s="6">
        <f>B23/(1-B22)</f>
        <v>43050.12442232492</v>
      </c>
      <c r="C20" s="6">
        <f>C23/(1-C22)</f>
        <v>29387.368171584312</v>
      </c>
      <c r="D20" s="6">
        <f>D23/(1-D22)</f>
        <v>27768.69297310108</v>
      </c>
      <c r="E20" s="6">
        <f>E23/(1-E22)</f>
        <v>32539.400402891337</v>
      </c>
      <c r="F20" s="6">
        <f>SUM(B20:E20)</f>
        <v>132745.58596990164</v>
      </c>
      <c r="G20" s="6">
        <f>G23/(1-G22)</f>
        <v>50119.04761904762</v>
      </c>
      <c r="H20" s="6">
        <f>H23/(1-H22)</f>
        <v>35238.09523809524</v>
      </c>
      <c r="I20" s="6">
        <f>I23/(1-I22)</f>
        <v>35505.36352800953</v>
      </c>
      <c r="J20" s="6">
        <f>J16+J19</f>
        <v>34090.575</v>
      </c>
      <c r="K20" s="6">
        <f>SUM(G20:J20)</f>
        <v>154953.08138515239</v>
      </c>
      <c r="L20" s="6">
        <f>L16+L19</f>
        <v>54118.44</v>
      </c>
      <c r="M20" s="6">
        <f>M16+M19</f>
        <v>36678.04</v>
      </c>
      <c r="N20" s="6">
        <f>N16+N19</f>
        <v>36501.15</v>
      </c>
      <c r="O20" s="6">
        <f>O16+O19</f>
        <v>36278.32</v>
      </c>
      <c r="P20" s="6">
        <f>SUM(L20:O20)</f>
        <v>163575.95</v>
      </c>
      <c r="Q20" s="6">
        <f>Q16+Q19</f>
        <v>57701.75</v>
      </c>
      <c r="R20" s="6">
        <f>R16+R19</f>
        <v>38798.985</v>
      </c>
      <c r="S20" s="6">
        <f>S16+S19</f>
        <v>38614</v>
      </c>
      <c r="T20" s="6">
        <f>T16+T19</f>
        <v>38388.675</v>
      </c>
      <c r="U20" s="6">
        <f>SUM(Q20:T20)</f>
        <v>173503.40999999997</v>
      </c>
    </row>
    <row r="21" spans="1:21" x14ac:dyDescent="0.25">
      <c r="A21" s="5" t="s">
        <v>34</v>
      </c>
      <c r="B21" s="6">
        <f>B20-B23</f>
        <v>6720.124422324923</v>
      </c>
      <c r="C21" s="6">
        <f>C20-C23</f>
        <v>4587.368171584312</v>
      </c>
      <c r="D21" s="6">
        <f>D20-D23</f>
        <v>4334.692973101079</v>
      </c>
      <c r="E21" s="6">
        <f>E20-E23</f>
        <v>5079.400402891337</v>
      </c>
      <c r="F21" s="6">
        <f>SUM(B21:E21)</f>
        <v>20721.58596990165</v>
      </c>
      <c r="G21" s="6">
        <f>G20-G23</f>
        <v>8019.047619047618</v>
      </c>
      <c r="H21" s="6">
        <f>H20-H23</f>
        <v>5638.095238095237</v>
      </c>
      <c r="I21" s="6">
        <f>I20-I23</f>
        <v>5716.363528009533</v>
      </c>
      <c r="J21" s="6">
        <f>J20*J22</f>
        <v>5454.491999999999</v>
      </c>
      <c r="K21" s="6">
        <f>SUM(G21:J21)</f>
        <v>24827.998385152387</v>
      </c>
      <c r="L21" s="6">
        <f>L20*L22</f>
        <v>8658.9504</v>
      </c>
      <c r="M21" s="6">
        <f>M20*M22</f>
        <v>5868.486400000001</v>
      </c>
      <c r="N21" s="6">
        <f>N20*N22</f>
        <v>5840.184</v>
      </c>
      <c r="O21" s="6">
        <f>O20*O22</f>
        <v>5804.5312</v>
      </c>
      <c r="P21" s="6">
        <f>SUM(L21:O21)</f>
        <v>26172.152000000002</v>
      </c>
      <c r="Q21" s="6">
        <f>Q20*Q22</f>
        <v>9232.28</v>
      </c>
      <c r="R21" s="6">
        <f>R20*R22</f>
        <v>6207.8376</v>
      </c>
      <c r="S21" s="6">
        <f>S20*S22</f>
        <v>6178.24</v>
      </c>
      <c r="T21" s="6">
        <f>T20*T22</f>
        <v>6142.188000000001</v>
      </c>
      <c r="U21" s="6">
        <f>SUM(Q21:T21)</f>
        <v>27760.545600000005</v>
      </c>
    </row>
    <row r="22" spans="1:21" x14ac:dyDescent="0.25">
      <c r="A22" s="5" t="s">
        <v>35</v>
      </c>
      <c r="B22" s="7">
        <v>0.1561</v>
      </c>
      <c r="C22" s="7">
        <v>0.1561</v>
      </c>
      <c r="D22" s="7">
        <v>0.1561</v>
      </c>
      <c r="E22" s="7">
        <v>0.1561</v>
      </c>
      <c r="F22" s="7">
        <f>F21/F20</f>
        <v>0.15610000000000004</v>
      </c>
      <c r="G22" s="7">
        <v>0.16</v>
      </c>
      <c r="H22" s="7">
        <v>0.16</v>
      </c>
      <c r="I22" s="7">
        <v>0.161</v>
      </c>
      <c r="J22" s="7">
        <v>0.16</v>
      </c>
      <c r="K22" s="7">
        <f>K21/K20</f>
        <v>0.16022913622117493</v>
      </c>
      <c r="L22" s="7">
        <v>0.16</v>
      </c>
      <c r="M22" s="7">
        <v>0.16</v>
      </c>
      <c r="N22" s="7">
        <v>0.16</v>
      </c>
      <c r="O22" s="7">
        <v>0.16</v>
      </c>
      <c r="P22" s="7">
        <f>P21/P20</f>
        <v>0.16</v>
      </c>
      <c r="Q22" s="7">
        <v>0.16</v>
      </c>
      <c r="R22" s="7">
        <v>0.16</v>
      </c>
      <c r="S22" s="7">
        <v>0.16</v>
      </c>
      <c r="T22" s="7">
        <v>0.16</v>
      </c>
      <c r="U22" s="7">
        <f>U21/U20</f>
        <v>0.16000000000000006</v>
      </c>
    </row>
    <row r="23" spans="1:21" x14ac:dyDescent="0.25">
      <c r="A23" s="8" t="s">
        <v>36</v>
      </c>
      <c r="B23" s="9">
        <v>36330</v>
      </c>
      <c r="C23" s="9">
        <v>24800</v>
      </c>
      <c r="D23" s="9">
        <v>23434</v>
      </c>
      <c r="E23" s="9">
        <v>27460</v>
      </c>
      <c r="F23" s="9">
        <f>SUM(B23:E23)</f>
        <v>112024</v>
      </c>
      <c r="G23" s="9">
        <v>42100</v>
      </c>
      <c r="H23" s="9">
        <v>29600</v>
      </c>
      <c r="I23" s="9">
        <v>29789</v>
      </c>
      <c r="J23" s="9">
        <f>J20-J21</f>
        <v>28636.083</v>
      </c>
      <c r="K23" s="9">
        <f>SUM(G23:J23)</f>
        <v>130125.083</v>
      </c>
      <c r="L23" s="9">
        <f>L20-L21</f>
        <v>45459.4896</v>
      </c>
      <c r="M23" s="9">
        <f>M20-M21</f>
        <v>30809.5536</v>
      </c>
      <c r="N23" s="9">
        <f>N20-N21</f>
        <v>30660.966</v>
      </c>
      <c r="O23" s="9">
        <f>O20-O21</f>
        <v>30473.7888</v>
      </c>
      <c r="P23" s="9">
        <f>SUM(L23:O23)</f>
        <v>137403.798</v>
      </c>
      <c r="Q23" s="9">
        <f>Q20-Q21</f>
        <v>48469.47</v>
      </c>
      <c r="R23" s="9">
        <f>R20-R21</f>
        <v>32591.1474</v>
      </c>
      <c r="S23" s="9">
        <f>S20-S21</f>
        <v>32435.760000000002</v>
      </c>
      <c r="T23" s="9">
        <f>T20-T21</f>
        <v>32246.487</v>
      </c>
      <c r="U23" s="9">
        <f>SUM(Q23:T23)</f>
        <v>145742.8644</v>
      </c>
    </row>
    <row r="24" spans="1:21" x14ac:dyDescent="0.25">
      <c r="A24" s="5" t="s">
        <v>37</v>
      </c>
      <c r="B24" s="7">
        <f>B23/B6</f>
        <v>0.2922767497988737</v>
      </c>
      <c r="C24" s="7">
        <f>C23/C6</f>
        <v>0.259958071278826</v>
      </c>
      <c r="D24" s="7">
        <f>D23/D6</f>
        <v>0.24919183326244151</v>
      </c>
      <c r="E24" s="7">
        <f>E23/E6</f>
        <v>0.2679808724504733</v>
      </c>
      <c r="F24" s="7">
        <f>F23/F6</f>
        <v>0.269152591239999</v>
      </c>
      <c r="G24" s="7">
        <f>G23/G6</f>
        <v>0.29276773296244785</v>
      </c>
      <c r="H24" s="7">
        <f>H23/H6</f>
        <v>0.26618705035971224</v>
      </c>
      <c r="I24" s="7">
        <f>I23/I6</f>
        <v>0.2722520266503377</v>
      </c>
      <c r="J24" s="7">
        <f>J23/J6</f>
        <v>0.25405292014514225</v>
      </c>
      <c r="K24" s="7">
        <f>K23/K6</f>
        <v>0.27272230233016304</v>
      </c>
      <c r="L24" s="7">
        <f>L23/L6</f>
        <v>0.29271293463143255</v>
      </c>
      <c r="M24" s="7">
        <f>M23/M6</f>
        <v>0.25654104716227016</v>
      </c>
      <c r="N24" s="7">
        <f>N23/N6</f>
        <v>0.25946488956587965</v>
      </c>
      <c r="O24" s="7">
        <f>O23/O6</f>
        <v>0.25033095766178715</v>
      </c>
      <c r="P24" s="7">
        <f>P23/P6</f>
        <v>0.26664609240370735</v>
      </c>
      <c r="Q24" s="7">
        <f>Q23/Q6</f>
        <v>0.29167726794042426</v>
      </c>
      <c r="R24" s="7">
        <f>R23/R6</f>
        <v>0.253621685096846</v>
      </c>
      <c r="S24" s="7">
        <f>S23/S6</f>
        <v>0.25652678698533715</v>
      </c>
      <c r="T24" s="7">
        <f>T23/T6</f>
        <v>0.24756429311734676</v>
      </c>
      <c r="U24" s="7">
        <f>U23/U6</f>
        <v>0.2643262106551802</v>
      </c>
    </row>
    <row r="25" spans="1:1" x14ac:dyDescent="0.25">
      <c r="A25" s="5"/>
    </row>
    <row r="26" spans="1:21" x14ac:dyDescent="0.25">
      <c r="A26" s="5" t="s">
        <v>38</v>
      </c>
      <c r="B26" s="10">
        <v>2.4</v>
      </c>
      <c r="C26" s="10">
        <v>1.65</v>
      </c>
      <c r="D26" s="10">
        <v>1.57</v>
      </c>
      <c r="E26" s="10">
        <v>1.85</v>
      </c>
      <c r="F26" s="10">
        <f>F23/F27</f>
        <v>7.476096516716172</v>
      </c>
      <c r="G26" s="10">
        <v>2.84</v>
      </c>
      <c r="H26" s="10">
        <v>2.01</v>
      </c>
      <c r="I26" s="10">
        <v>2.02</v>
      </c>
      <c r="J26" s="10">
        <f>J23/J27</f>
        <v>1.954681433447099</v>
      </c>
      <c r="K26" s="10">
        <f>K23/K27</f>
        <v>8.829920375404747</v>
      </c>
      <c r="L26" s="10">
        <f>L23/L27</f>
        <v>3.1136636712328767</v>
      </c>
      <c r="M26" s="10">
        <f>M23/M27</f>
        <v>2.1174950927835052</v>
      </c>
      <c r="N26" s="10">
        <f>N23/N27</f>
        <v>2.1145493793103447</v>
      </c>
      <c r="O26" s="10">
        <f>O23/O27</f>
        <v>2.1089127197231834</v>
      </c>
      <c r="P26" s="10">
        <f>P23/P27</f>
        <v>9.459813975903614</v>
      </c>
      <c r="Q26" s="10">
        <f>Q23/Q27</f>
        <v>3.3894734265734265</v>
      </c>
      <c r="R26" s="10">
        <f>R23/R27</f>
        <v>2.2870980631578948</v>
      </c>
      <c r="S26" s="10">
        <f>S23/S27</f>
        <v>2.2842084507042255</v>
      </c>
      <c r="T26" s="10">
        <f>T23/T27</f>
        <v>2.278903674911661</v>
      </c>
      <c r="U26" s="10">
        <f>U23/U27</f>
        <v>10.245544070298768</v>
      </c>
    </row>
    <row r="27" spans="1:21" x14ac:dyDescent="0.25">
      <c r="A27" s="5" t="s">
        <v>39</v>
      </c>
      <c r="B27" s="11">
        <f>B23/B26</f>
        <v>15137.5</v>
      </c>
      <c r="C27" s="11">
        <f>C23/C26</f>
        <v>15030.303030303032</v>
      </c>
      <c r="D27" s="11">
        <f>D23/D26</f>
        <v>14926.114649681527</v>
      </c>
      <c r="E27" s="11">
        <f>E23/E26</f>
        <v>14843.243243243243</v>
      </c>
      <c r="F27" s="11">
        <f>AVERAGE(B27:E27)</f>
        <v>14984.29023080695</v>
      </c>
      <c r="G27" s="11">
        <f>G23/G26</f>
        <v>14823.943661971833</v>
      </c>
      <c r="H27" s="11">
        <f>H23/H26</f>
        <v>14726.368159203981</v>
      </c>
      <c r="I27" s="11">
        <f>I23/I26</f>
        <v>14747.029702970296</v>
      </c>
      <c r="J27" s="11">
        <v>14650</v>
      </c>
      <c r="K27" s="11">
        <f>AVERAGE(G27:J27)</f>
        <v>14736.835381036526</v>
      </c>
      <c r="L27" s="11">
        <v>14600</v>
      </c>
      <c r="M27" s="11">
        <v>14550</v>
      </c>
      <c r="N27" s="11">
        <v>14500</v>
      </c>
      <c r="O27" s="11">
        <v>14450</v>
      </c>
      <c r="P27" s="11">
        <f>AVERAGE(L27:O27)</f>
        <v>14525</v>
      </c>
      <c r="Q27" s="11">
        <v>14300</v>
      </c>
      <c r="R27" s="11">
        <v>14250</v>
      </c>
      <c r="S27" s="11">
        <v>14200</v>
      </c>
      <c r="T27" s="11">
        <v>14150</v>
      </c>
      <c r="U27" s="11">
        <f>AVERAGE(Q27:T27)</f>
        <v>14225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2026-08-17T17:36:54Z</dcterms:created>
  <dcterms:modified xsi:type="dcterms:W3CDTF">2026-08-17T17:36:54Z</dcterms:modified>
</cp:coreProperties>
</file>