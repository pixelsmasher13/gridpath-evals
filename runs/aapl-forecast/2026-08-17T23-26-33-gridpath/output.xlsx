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 fullCalcOn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(#,##0);-"/>
    <numFmt numFmtId="165" formatCode="$#,##0.00;($#,##0.00)"/>
    <numFmt numFmtId="166" formatCode="0.0%;(0.0%);-"/>
  </numFmts>
  <fonts x14ac:knownFonts="1" count="10">
    <font>
      <color theme="1"/>
      <family val="2"/>
      <scheme val="minor"/>
      <sz val="11"/>
      <name val="Calibri"/>
    </font>
    <font>
      <b/>
      <color theme="1"/>
      <family val="2"/>
      <sz val="14"/>
      <name val="Calibri"/>
    </font>
    <font>
      <i/>
      <family val="2"/>
      <color rgb="FF595959"/>
      <sz val="9"/>
      <name val="Calibri"/>
    </font>
    <font>
      <b/>
      <family val="2"/>
      <sz val="11"/>
      <color rgb="FFFFFFFF"/>
      <name val="Calibri"/>
    </font>
    <font>
      <b/>
      <family val="2"/>
      <sz val="11"/>
      <color rgb="FF000000"/>
      <name val="Calibri"/>
    </font>
    <font>
      <b/>
      <family val="2"/>
      <scheme val="minor"/>
      <sz val="11"/>
      <name val="Calibri"/>
      <color rgb="FF1F4E79"/>
    </font>
    <font>
      <b/>
      <family val="2"/>
      <scheme val="minor"/>
      <sz val="11"/>
      <name val="Calibri"/>
      <color rgb="FFFFFFFF"/>
    </font>
    <font>
      <b/>
      <color theme="1"/>
      <family val="2"/>
      <scheme val="minor"/>
      <sz val="11"/>
      <name val="Calibri"/>
    </font>
    <font>
      <family val="2"/>
      <scheme val="minor"/>
      <sz val="11"/>
      <name val="Calibri"/>
      <color rgb="FF0000FF"/>
    </font>
    <font>
      <i/>
      <family val="2"/>
      <scheme val="minor"/>
      <name val="Calibri"/>
      <color rgb="FF595959"/>
      <sz val="8"/>
    </font>
  </fonts>
  <fills count="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3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 applyFill="1"/>
    <xf numFmtId="0" fontId="6" fillId="2" borderId="0" xfId="0" applyFont="1" applyFill="1"/>
    <xf numFmtId="0" fontId="7" fillId="3" borderId="0" xfId="0" applyFont="1" applyFill="1" applyAlignment="1">
      <alignment horizontal="center"/>
    </xf>
    <xf numFmtId="0" fontId="7" fillId="0" borderId="0" xfId="0" applyFont="1" applyFill="1"/>
    <xf numFmtId="164" fontId="7" fillId="0" borderId="0" xfId="0" applyFont="1" applyFill="1" applyNumberFormat="1"/>
    <xf numFmtId="164" fontId="7" fillId="4" borderId="0" xfId="0" applyFont="1" applyFill="1" applyNumberFormat="1"/>
    <xf numFmtId="165" fontId="7" fillId="0" borderId="0" xfId="0" applyFont="1" applyFill="1" applyNumberFormat="1"/>
    <xf numFmtId="165" fontId="7" fillId="4" borderId="0" xfId="0" applyFont="1" applyFill="1" applyNumberFormat="1"/>
    <xf numFmtId="164" fontId="8" fillId="0" borderId="0" xfId="0" applyFont="1" applyFill="1" applyNumberFormat="1"/>
    <xf numFmtId="164" fontId="0" fillId="4" borderId="0" xfId="0" applyFill="1" applyNumberFormat="1"/>
    <xf numFmtId="164" fontId="0" fillId="0" borderId="0" xfId="0" applyFill="1" applyNumberFormat="1"/>
    <xf numFmtId="166" fontId="0" fillId="0" borderId="0" xfId="0" applyFill="1" applyNumberFormat="1"/>
    <xf numFmtId="166" fontId="0" fillId="4" borderId="0" xfId="0" applyFill="1" applyNumberFormat="1"/>
    <xf numFmtId="165" fontId="0" fillId="0" borderId="0" xfId="0" applyFill="1" applyNumberFormat="1"/>
    <xf numFmtId="165" fontId="0" fillId="4" borderId="0" xfId="0" applyFill="1" applyNumberFormat="1"/>
    <xf numFmtId="3" fontId="8" fillId="0" borderId="0" xfId="0" applyFont="1" applyFill="1" applyNumberFormat="1"/>
    <xf numFmtId="3" fontId="0" fillId="4" borderId="0" xfId="0" applyFill="1" applyNumberFormat="1"/>
    <xf numFmtId="3" fontId="0" fillId="0" borderId="0" xfId="0" applyFill="1" applyNumberFormat="1"/>
    <xf numFmtId="166" fontId="8" fillId="5" borderId="0" xfId="0" applyFont="1" applyFill="1" applyNumberFormat="1"/>
    <xf numFmtId="0" fontId="0" fillId="4" borderId="0" xfId="0" applyFill="1"/>
    <xf numFmtId="0" fontId="9" fillId="0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>
      <pane xSplit="1" ySplit="5" topLeftCell="B6" activePane="bottomRight" state="frozen"/>
    </sheetView>
  </sheetViews>
  <sheetFormatPr defaultRowHeight="15" outlineLevelRow="0" outlineLevelCol="0" x14ac:dyDescent="55"/>
  <cols>
    <col min="1" max="1" width="40.71" customWidth="1"/>
    <col min="2" max="2" width="11.86" customWidth="1"/>
    <col min="3" max="3" width="11.86" customWidth="1"/>
    <col min="4" max="4" width="11.86" customWidth="1"/>
    <col min="5" max="5" width="11.86" customWidth="1"/>
    <col min="6" max="6" width="12.43" customWidth="1"/>
    <col min="7" max="7" width="11.86" customWidth="1"/>
    <col min="8" max="8" width="11.86" customWidth="1"/>
    <col min="9" max="9" width="11.86" customWidth="1"/>
    <col min="10" max="10" width="11.86" customWidth="1"/>
    <col min="11" max="11" width="12.43" customWidth="1"/>
    <col min="12" max="12" width="11.86" customWidth="1"/>
    <col min="13" max="13" width="11.86" customWidth="1"/>
    <col min="14" max="14" width="11.86" customWidth="1"/>
    <col min="15" max="15" width="11.86" customWidth="1"/>
    <col min="16" max="16" width="12.43" customWidth="1"/>
    <col min="17" max="17" width="11.86" customWidth="1"/>
    <col min="18" max="18" width="11.86" customWidth="1"/>
    <col min="19" max="19" width="11.86" customWidth="1"/>
    <col min="20" max="20" width="11.86" customWidth="1"/>
    <col min="21" max="21" width="12.43" customWidth="1"/>
  </cols>
  <sheetData>
    <row r="1" ht="18" customHeight="1">
      <c r="A1" s="1" t="inlineStr">
        <is>
          <t xml:space="preserve">Apple Inc. (AAPL) — Income Statement Forecast, FY2025A–FY2028E (Quarterly)</t>
        </is>
      </c>
    </row>
    <row r="2">
      <c r="A2" s="2" t="inlineStr">
        <is>
          <t xml:space="preserve">$ in millions, except per-share data and shares outstanding (000s) | Fiscal year ends last Saturday of September | Built Aug 17, 2026</t>
        </is>
      </c>
    </row>
    <row r="4">
      <c r="B4" s="3" t="inlineStr">
        <is>
          <t xml:space="preserve">FY2025 (Actual)</t>
        </is>
      </c>
      <c r="C4" s="3"/>
      <c r="D4" s="3"/>
      <c r="E4" s="3"/>
      <c r="F4" s="3"/>
      <c r="G4" s="3" t="inlineStr">
        <is>
          <t xml:space="preserve">FY2026 (Q1–Q3 Actual, Q4 Estimate)</t>
        </is>
      </c>
      <c r="H4" s="3"/>
      <c r="I4" s="3"/>
      <c r="J4" s="3"/>
      <c r="K4" s="3"/>
      <c r="L4" s="3" t="inlineStr">
        <is>
          <t xml:space="preserve">FY2027 (Estimate)</t>
        </is>
      </c>
      <c r="M4" s="3"/>
      <c r="N4" s="3"/>
      <c r="O4" s="3"/>
      <c r="P4" s="3"/>
      <c r="Q4" s="3" t="inlineStr">
        <is>
          <t xml:space="preserve">FY2028 (Estimate)</t>
        </is>
      </c>
      <c r="R4" s="3"/>
      <c r="S4" s="3"/>
      <c r="T4" s="3"/>
      <c r="U4" s="3"/>
    </row>
    <row r="5" ht="25.51" customHeight="1">
      <c r="B5" s="4" t="inlineStr">
        <is>
          <t xml:space="preserve">Q1 FY25A (Dec-24)</t>
        </is>
      </c>
      <c r="C5" s="4" t="inlineStr">
        <is>
          <t xml:space="preserve">Q2 FY25A (Mar-25)</t>
        </is>
      </c>
      <c r="D5" s="4" t="inlineStr">
        <is>
          <t xml:space="preserve">Q3 FY25A (Jun-25)</t>
        </is>
      </c>
      <c r="E5" s="4" t="inlineStr">
        <is>
          <t xml:space="preserve">Q4 FY25A (Sep-25)</t>
        </is>
      </c>
      <c r="F5" s="4" t="inlineStr">
        <is>
          <t xml:space="preserve">FY2025A</t>
        </is>
      </c>
      <c r="G5" s="4" t="inlineStr">
        <is>
          <t xml:space="preserve">Q1 FY26A (Dec-25)</t>
        </is>
      </c>
      <c r="H5" s="4" t="inlineStr">
        <is>
          <t xml:space="preserve">Q2 FY26A (Mar-26)</t>
        </is>
      </c>
      <c r="I5" s="4" t="inlineStr">
        <is>
          <t xml:space="preserve">Q3 FY26A (Jun-26)</t>
        </is>
      </c>
      <c r="J5" s="4" t="inlineStr">
        <is>
          <t xml:space="preserve">Q4 FY26E (Sep-26)</t>
        </is>
      </c>
      <c r="K5" s="4" t="inlineStr">
        <is>
          <t xml:space="preserve">FY2026E</t>
        </is>
      </c>
      <c r="L5" s="4" t="inlineStr">
        <is>
          <t xml:space="preserve">Q1 FY27E (Dec-26)</t>
        </is>
      </c>
      <c r="M5" s="4" t="inlineStr">
        <is>
          <t xml:space="preserve">Q2 FY27E (Mar-27)</t>
        </is>
      </c>
      <c r="N5" s="4" t="inlineStr">
        <is>
          <t xml:space="preserve">Q3 FY27E (Jun-27)</t>
        </is>
      </c>
      <c r="O5" s="4" t="inlineStr">
        <is>
          <t xml:space="preserve">Q4 FY27E (Sep-27)</t>
        </is>
      </c>
      <c r="P5" s="4" t="inlineStr">
        <is>
          <t xml:space="preserve">FY2027E</t>
        </is>
      </c>
      <c r="Q5" s="4" t="inlineStr">
        <is>
          <t xml:space="preserve">Q1 FY28E (Dec-27)</t>
        </is>
      </c>
      <c r="R5" s="4" t="inlineStr">
        <is>
          <t xml:space="preserve">Q2 FY28E (Mar-28)</t>
        </is>
      </c>
      <c r="S5" s="4" t="inlineStr">
        <is>
          <t xml:space="preserve">Q3 FY28E (Jun-28)</t>
        </is>
      </c>
      <c r="T5" s="4" t="inlineStr">
        <is>
          <t xml:space="preserve">Q4 FY28E (Sep-28)</t>
        </is>
      </c>
      <c r="U5" s="4" t="inlineStr">
        <is>
          <t xml:space="preserve">FY2028E</t>
        </is>
      </c>
    </row>
    <row r="7">
      <c r="A7" s="5" t="inlineStr">
        <is>
          <t xml:space="preserve">Net sales:</t>
        </is>
      </c>
    </row>
    <row r="8">
      <c r="A8" t="inlineStr">
        <is>
          <t xml:space="preserve">  Products</t>
        </is>
      </c>
      <c r="B8" s="13">
        <v>97960</v>
      </c>
      <c r="C8" s="13">
        <v>68714</v>
      </c>
      <c r="D8" s="13">
        <v>66613</v>
      </c>
      <c r="E8" s="13">
        <v>73716</v>
      </c>
      <c r="F8" s="14">
        <f>B8+C8+D8+E8</f>
        <v>307003</v>
      </c>
      <c r="G8" s="13">
        <v>113743</v>
      </c>
      <c r="H8" s="13">
        <v>80208</v>
      </c>
      <c r="I8" s="13">
        <v>78678</v>
      </c>
      <c r="J8" s="15">
        <f>E8*(1+$B$45)</f>
        <v>80350.44</v>
      </c>
      <c r="K8" s="14">
        <f>G8+H8+I8+J8</f>
        <v>352979.44</v>
      </c>
      <c r="L8" s="15">
        <f>G8*(1+$C$45)</f>
        <v>120567.58</v>
      </c>
      <c r="M8" s="15">
        <f>H8*(1+$C$45)</f>
        <v>85020.48000000001</v>
      </c>
      <c r="N8" s="15">
        <f>I8*(1+$C$45)</f>
        <v>83398.68000000001</v>
      </c>
      <c r="O8" s="15">
        <f>J8*(1+$C$45)</f>
        <v>85171.4664</v>
      </c>
      <c r="P8" s="14">
        <f>L8+M8+N8+O8</f>
        <v>374158.2064</v>
      </c>
      <c r="Q8" s="15">
        <f>L8*(1+$D$45)</f>
        <v>126595.959</v>
      </c>
      <c r="R8" s="15">
        <f>M8*(1+$D$45)</f>
        <v>89271.50400000002</v>
      </c>
      <c r="S8" s="15">
        <f>N8*(1+$D$45)</f>
        <v>87568.61400000002</v>
      </c>
      <c r="T8" s="15">
        <f>O8*(1+$D$45)</f>
        <v>89430.03972000002</v>
      </c>
      <c r="U8" s="14">
        <f>Q8+R8+S8+T8</f>
        <v>392866.1167200001</v>
      </c>
    </row>
    <row r="9">
      <c r="A9" t="inlineStr">
        <is>
          <t xml:space="preserve">  Services</t>
        </is>
      </c>
      <c r="B9" s="13">
        <v>26340</v>
      </c>
      <c r="C9" s="13">
        <v>26645</v>
      </c>
      <c r="D9" s="13">
        <v>27423</v>
      </c>
      <c r="E9" s="13">
        <v>28750</v>
      </c>
      <c r="F9" s="14">
        <f>B9+C9+D9+E9</f>
        <v>109158</v>
      </c>
      <c r="G9" s="13">
        <v>30013</v>
      </c>
      <c r="H9" s="13">
        <v>30976</v>
      </c>
      <c r="I9" s="13">
        <v>30739</v>
      </c>
      <c r="J9" s="15">
        <f>E9*(1+$B$46)</f>
        <v>32487.499999999996</v>
      </c>
      <c r="K9" s="14">
        <f>G9+H9+I9+J9</f>
        <v>124215.5</v>
      </c>
      <c r="L9" s="15">
        <f>G9*(1+$C$46)</f>
        <v>33614.560000000005</v>
      </c>
      <c r="M9" s="15">
        <f>H9*(1+$C$46)</f>
        <v>34693.12</v>
      </c>
      <c r="N9" s="15">
        <f>I9*(1+$C$46)</f>
        <v>34427.68</v>
      </c>
      <c r="O9" s="15">
        <f>J9*(1+$C$46)</f>
        <v>36386</v>
      </c>
      <c r="P9" s="14">
        <f>L9+M9+N9+O9</f>
        <v>139121.36000000002</v>
      </c>
      <c r="Q9" s="15">
        <f>L9*(1+$D$46)</f>
        <v>37312.16160000001</v>
      </c>
      <c r="R9" s="15">
        <f>M9*(1+$D$46)</f>
        <v>38509.36320000001</v>
      </c>
      <c r="S9" s="15">
        <f>N9*(1+$D$46)</f>
        <v>38214.7248</v>
      </c>
      <c r="T9" s="15">
        <f>O9*(1+$D$46)</f>
        <v>40388.46000000001</v>
      </c>
      <c r="U9" s="14">
        <f>Q9+R9+S9+T9</f>
        <v>154424.7096</v>
      </c>
    </row>
    <row r="10">
      <c r="A10" s="8" t="inlineStr">
        <is>
          <t xml:space="preserve">Total net sales</t>
        </is>
      </c>
      <c r="B10" s="9">
        <f>B8+B9</f>
        <v>124300</v>
      </c>
      <c r="C10" s="9">
        <f>C8+C9</f>
        <v>95359</v>
      </c>
      <c r="D10" s="9">
        <f>D8+D9</f>
        <v>94036</v>
      </c>
      <c r="E10" s="9">
        <f>E8+E9</f>
        <v>102466</v>
      </c>
      <c r="F10" s="10">
        <f>F8+F9</f>
        <v>416161</v>
      </c>
      <c r="G10" s="9">
        <f>G8+G9</f>
        <v>143756</v>
      </c>
      <c r="H10" s="9">
        <f>H8+H9</f>
        <v>111184</v>
      </c>
      <c r="I10" s="9">
        <f>I8+I9</f>
        <v>109417</v>
      </c>
      <c r="J10" s="9">
        <f>J8+J9</f>
        <v>112837.94</v>
      </c>
      <c r="K10" s="10">
        <f>K8+K9</f>
        <v>477194.94</v>
      </c>
      <c r="L10" s="9">
        <f>L8+L9</f>
        <v>154182.14</v>
      </c>
      <c r="M10" s="9">
        <f>M8+M9</f>
        <v>119713.6</v>
      </c>
      <c r="N10" s="9">
        <f>N8+N9</f>
        <v>117826.36000000002</v>
      </c>
      <c r="O10" s="9">
        <f>O8+O9</f>
        <v>121557.4664</v>
      </c>
      <c r="P10" s="10">
        <f>P8+P9</f>
        <v>513279.5664</v>
      </c>
      <c r="Q10" s="9">
        <f>Q8+Q9</f>
        <v>163908.12060000002</v>
      </c>
      <c r="R10" s="9">
        <f>R8+R9</f>
        <v>127780.86720000002</v>
      </c>
      <c r="S10" s="9">
        <f>S8+S9</f>
        <v>125783.33880000004</v>
      </c>
      <c r="T10" s="9">
        <f>T8+T9</f>
        <v>129818.49972000002</v>
      </c>
      <c r="U10" s="10">
        <f>U8+U9</f>
        <v>547290.82632</v>
      </c>
    </row>
    <row r="11">
      <c r="A11" s="8" t="inlineStr">
        <is>
          <t xml:space="preserve">  YoY growth %</t>
        </is>
      </c>
      <c r="B11" s="16"/>
      <c r="C11" s="16"/>
      <c r="D11" s="16"/>
      <c r="E11" s="16"/>
      <c r="F11" s="17"/>
      <c r="G11" s="16">
        <f>IF(B10=0,0,G10/B10-1)</f>
        <v>0.15652453740949324</v>
      </c>
      <c r="H11" s="16">
        <f>IF(C10=0,0,H10/C10-1)</f>
        <v>0.16595182415922993</v>
      </c>
      <c r="I11" s="16">
        <f>IF(D10=0,0,I10/D10-1)</f>
        <v>0.16356501765281384</v>
      </c>
      <c r="J11" s="16">
        <f>IF(E10=0,0,J10/E10-1)</f>
        <v>0.10122323502430076</v>
      </c>
      <c r="K11" s="17">
        <f>IF(F10=0,0,K10/F10-1)</f>
        <v>0.14665944189868818</v>
      </c>
      <c r="L11" s="16">
        <f>IF(G10=0,0,L10/G10-1)</f>
        <v>0.07252664236623185</v>
      </c>
      <c r="M11" s="16">
        <f>IF(H10=0,0,M10/H10-1)</f>
        <v>0.07671607425528859</v>
      </c>
      <c r="N11" s="16">
        <f>IF(I10=0,0,N10/I10-1)</f>
        <v>0.0768560644141223</v>
      </c>
      <c r="O11" s="16">
        <f>IF(J10=0,0,O10/J10-1)</f>
        <v>0.07727477477876676</v>
      </c>
      <c r="P11" s="17">
        <f>IF(K10=0,0,P10/K10-1)</f>
        <v>0.07561820835736444</v>
      </c>
      <c r="Q11" s="16">
        <f>IF(L10=0,0,Q10/L10-1)</f>
        <v>0.06308111043211628</v>
      </c>
      <c r="R11" s="16">
        <f>IF(M10=0,0,R10/M10-1)</f>
        <v>0.06738805950201154</v>
      </c>
      <c r="S11" s="16">
        <f>IF(N10=0,0,S10/N10-1)</f>
        <v>0.06753139789772011</v>
      </c>
      <c r="T11" s="16">
        <f>IF(O10=0,0,T10/O10-1)</f>
        <v>0.06795990048703437</v>
      </c>
      <c r="U11" s="17">
        <f>IF(P10=0,0,U10/P10-1)</f>
        <v>0.06626264154356565</v>
      </c>
    </row>
    <row r="12">
      <c r="F12" s="24"/>
      <c r="K12" s="24"/>
      <c r="P12" s="24"/>
      <c r="U12" s="24"/>
    </row>
    <row r="13">
      <c r="A13" s="5" t="inlineStr">
        <is>
          <t xml:space="preserve">Cost of sales:</t>
        </is>
      </c>
      <c r="F13" s="24"/>
      <c r="K13" s="24"/>
      <c r="P13" s="24"/>
      <c r="U13" s="24"/>
    </row>
    <row r="14">
      <c r="A14" t="inlineStr">
        <is>
          <t xml:space="preserve">  Products</t>
        </is>
      </c>
      <c r="B14" s="13">
        <v>59447</v>
      </c>
      <c r="C14" s="13">
        <v>44030</v>
      </c>
      <c r="D14" s="13">
        <v>43620</v>
      </c>
      <c r="E14" s="13">
        <v>46794</v>
      </c>
      <c r="F14" s="14">
        <f>B14+C14+D14+E14</f>
        <v>193891</v>
      </c>
      <c r="G14" s="13">
        <v>67478</v>
      </c>
      <c r="H14" s="13">
        <v>49179</v>
      </c>
      <c r="I14" s="13">
        <v>47153</v>
      </c>
      <c r="J14" s="15">
        <f>J8*(1-$B$47)</f>
        <v>51424.2816</v>
      </c>
      <c r="K14" s="14">
        <f>G14+H14+I14+J14</f>
        <v>215234.2816</v>
      </c>
      <c r="L14" s="15">
        <f>L8*(1-$C$47)</f>
        <v>74751.8996</v>
      </c>
      <c r="M14" s="15">
        <f>M8*(1-$C$47)</f>
        <v>52712.69760000001</v>
      </c>
      <c r="N14" s="15">
        <f>N8*(1-$C$47)</f>
        <v>51707.1816</v>
      </c>
      <c r="O14" s="15">
        <f>O8*(1-$C$47)</f>
        <v>52806.309168</v>
      </c>
      <c r="P14" s="14">
        <f>L14+M14+N14+O14</f>
        <v>231978.08796800004</v>
      </c>
      <c r="Q14" s="15">
        <f>Q8*(1-$D$47)</f>
        <v>77223.53499</v>
      </c>
      <c r="R14" s="15">
        <f>R8*(1-$D$47)</f>
        <v>54455.61744000001</v>
      </c>
      <c r="S14" s="15">
        <f>S8*(1-$D$47)</f>
        <v>53416.85454000001</v>
      </c>
      <c r="T14" s="15">
        <f>T8*(1-$D$47)</f>
        <v>54552.32422920001</v>
      </c>
      <c r="U14" s="14">
        <f>Q14+R14+S14+T14</f>
        <v>239648.3311992</v>
      </c>
    </row>
    <row r="15">
      <c r="A15" t="inlineStr">
        <is>
          <t xml:space="preserve">  Services</t>
        </is>
      </c>
      <c r="B15" s="13">
        <v>6578</v>
      </c>
      <c r="C15" s="13">
        <v>6462</v>
      </c>
      <c r="D15" s="13">
        <v>6698</v>
      </c>
      <c r="E15" s="13">
        <v>7331</v>
      </c>
      <c r="F15" s="14">
        <f>B15+C15+D15+E15</f>
        <v>27069</v>
      </c>
      <c r="G15" s="13">
        <v>7047</v>
      </c>
      <c r="H15" s="13">
        <v>7224</v>
      </c>
      <c r="I15" s="13">
        <v>7494</v>
      </c>
      <c r="J15" s="15">
        <f>J9*(1-$B$48)</f>
        <v>7796.999999999999</v>
      </c>
      <c r="K15" s="14">
        <f>G15+H15+I15+J15</f>
        <v>29562</v>
      </c>
      <c r="L15" s="15">
        <f>L9*(1-$C$48)</f>
        <v>7899.421600000001</v>
      </c>
      <c r="M15" s="15">
        <f>M9*(1-$C$48)</f>
        <v>8152.8832</v>
      </c>
      <c r="N15" s="15">
        <f>N9*(1-$C$48)</f>
        <v>8090.5048</v>
      </c>
      <c r="O15" s="15">
        <f>O9*(1-$C$48)</f>
        <v>8550.71</v>
      </c>
      <c r="P15" s="14">
        <f>L15+M15+N15+O15</f>
        <v>32693.5196</v>
      </c>
      <c r="Q15" s="15">
        <f>Q9*(1-$D$48)</f>
        <v>8581.797168000001</v>
      </c>
      <c r="R15" s="15">
        <f>R9*(1-$D$48)</f>
        <v>8857.153536000002</v>
      </c>
      <c r="S15" s="15">
        <f>S9*(1-$D$48)</f>
        <v>8789.386704</v>
      </c>
      <c r="T15" s="15">
        <f>T9*(1-$D$48)</f>
        <v>9289.3458</v>
      </c>
      <c r="U15" s="14">
        <f>Q15+R15+S15+T15</f>
        <v>35517.683208</v>
      </c>
    </row>
    <row r="16">
      <c r="A16" t="inlineStr">
        <is>
          <t xml:space="preserve">Total cost of sales</t>
        </is>
      </c>
      <c r="B16" s="15">
        <f>B14+B15</f>
        <v>66025</v>
      </c>
      <c r="C16" s="15">
        <f>C14+C15</f>
        <v>50492</v>
      </c>
      <c r="D16" s="15">
        <f>D14+D15</f>
        <v>50318</v>
      </c>
      <c r="E16" s="15">
        <f>E14+E15</f>
        <v>54125</v>
      </c>
      <c r="F16" s="14">
        <f>F14+F15</f>
        <v>220960</v>
      </c>
      <c r="G16" s="15">
        <f>G14+G15</f>
        <v>74525</v>
      </c>
      <c r="H16" s="15">
        <f>H14+H15</f>
        <v>56403</v>
      </c>
      <c r="I16" s="15">
        <f>I14+I15</f>
        <v>54647</v>
      </c>
      <c r="J16" s="15">
        <f>J14+J15</f>
        <v>59221.2816</v>
      </c>
      <c r="K16" s="14">
        <f>K14+K15</f>
        <v>244796.2816</v>
      </c>
      <c r="L16" s="15">
        <f>L14+L15</f>
        <v>82651.3212</v>
      </c>
      <c r="M16" s="15">
        <f>M14+M15</f>
        <v>60865.58080000001</v>
      </c>
      <c r="N16" s="15">
        <f>N14+N15</f>
        <v>59797.686400000006</v>
      </c>
      <c r="O16" s="15">
        <f>O14+O15</f>
        <v>61357.019168</v>
      </c>
      <c r="P16" s="14">
        <f>P14+P15</f>
        <v>264671.60756800004</v>
      </c>
      <c r="Q16" s="15">
        <f>Q14+Q15</f>
        <v>85805.332158</v>
      </c>
      <c r="R16" s="15">
        <f>R14+R15</f>
        <v>63312.770976000014</v>
      </c>
      <c r="S16" s="15">
        <f>S14+S15</f>
        <v>62206.241244</v>
      </c>
      <c r="T16" s="15">
        <f>T14+T15</f>
        <v>63841.67002920001</v>
      </c>
      <c r="U16" s="14">
        <f>U14+U15</f>
        <v>275166.01440720004</v>
      </c>
    </row>
    <row r="17">
      <c r="A17" s="8" t="inlineStr">
        <is>
          <t xml:space="preserve">Gross margin ($)</t>
        </is>
      </c>
      <c r="B17" s="9">
        <f>B10-B16</f>
        <v>58275</v>
      </c>
      <c r="C17" s="9">
        <f>C10-C16</f>
        <v>44867</v>
      </c>
      <c r="D17" s="9">
        <f>D10-D16</f>
        <v>43718</v>
      </c>
      <c r="E17" s="9">
        <f>E10-E16</f>
        <v>48341</v>
      </c>
      <c r="F17" s="10">
        <f>F10-F16</f>
        <v>195201</v>
      </c>
      <c r="G17" s="9">
        <f>G10-G16</f>
        <v>69231</v>
      </c>
      <c r="H17" s="9">
        <f>H10-H16</f>
        <v>54781</v>
      </c>
      <c r="I17" s="9">
        <f>I10-I16</f>
        <v>54770</v>
      </c>
      <c r="J17" s="9">
        <f>J10-J16</f>
        <v>53616.6584</v>
      </c>
      <c r="K17" s="10">
        <f>K10-K16</f>
        <v>232398.6584</v>
      </c>
      <c r="L17" s="9">
        <f>L10-L16</f>
        <v>71530.81880000001</v>
      </c>
      <c r="M17" s="9">
        <f>M10-M16</f>
        <v>58848.019199999995</v>
      </c>
      <c r="N17" s="9">
        <f>N10-N16</f>
        <v>58028.67360000001</v>
      </c>
      <c r="O17" s="9">
        <f>O10-O16</f>
        <v>60200.447232000006</v>
      </c>
      <c r="P17" s="10">
        <f>P10-P16</f>
        <v>248607.95883199995</v>
      </c>
      <c r="Q17" s="9">
        <f>Q10-Q16</f>
        <v>78102.78844200002</v>
      </c>
      <c r="R17" s="9">
        <f>R10-R16</f>
        <v>64468.09622400001</v>
      </c>
      <c r="S17" s="9">
        <f>S10-S16</f>
        <v>63577.09755600002</v>
      </c>
      <c r="T17" s="9">
        <f>T10-T16</f>
        <v>65976.82969080002</v>
      </c>
      <c r="U17" s="10">
        <f>U10-U16</f>
        <v>272124.81191279995</v>
      </c>
    </row>
    <row r="18">
      <c r="A18" s="8" t="inlineStr">
        <is>
          <t xml:space="preserve">Gross margin (%)</t>
        </is>
      </c>
      <c r="B18" s="16">
        <f>IF(B10=0,0,B17/B10)</f>
        <v>0.4688254223652454</v>
      </c>
      <c r="C18" s="16">
        <f>IF(C10=0,0,C17/C10)</f>
        <v>0.47050619238876246</v>
      </c>
      <c r="D18" s="16">
        <f>IF(D10=0,0,D17/D10)</f>
        <v>0.4649070568718363</v>
      </c>
      <c r="E18" s="16">
        <f>IF(E10=0,0,E17/E10)</f>
        <v>0.47177600374758455</v>
      </c>
      <c r="F18" s="17">
        <f>IF(F10=0,0,F17/F10)</f>
        <v>0.4690516410716045</v>
      </c>
      <c r="G18" s="16">
        <f>IF(G10=0,0,G17/G10)</f>
        <v>0.4815868555051615</v>
      </c>
      <c r="H18" s="16">
        <f>IF(H10=0,0,H17/H10)</f>
        <v>0.4927057850050367</v>
      </c>
      <c r="I18" s="16">
        <f>IF(I10=0,0,I17/I10)</f>
        <v>0.500562069879452</v>
      </c>
      <c r="J18" s="16">
        <f>IF(J10=0,0,J17/J10)</f>
        <v>0.4751651651917786</v>
      </c>
      <c r="K18" s="17">
        <f>IF(K10=0,0,K17/K10)</f>
        <v>0.4870098966263138</v>
      </c>
      <c r="L18" s="16">
        <f>IF(L10=0,0,L17/L10)</f>
        <v>0.4639371252727456</v>
      </c>
      <c r="M18" s="16">
        <f>IF(M10=0,0,M17/M10)</f>
        <v>0.4915733818045735</v>
      </c>
      <c r="N18" s="16">
        <f>IF(N10=0,0,N17/N10)</f>
        <v>0.49249313651037</v>
      </c>
      <c r="O18" s="16">
        <f>IF(O10=0,0,O17/O10)</f>
        <v>0.4952426947918026</v>
      </c>
      <c r="P18" s="17">
        <f>IF(P10=0,0,P17/P10)</f>
        <v>0.48435194990454616</v>
      </c>
      <c r="Q18" s="16">
        <f>IF(Q10=0,0,Q17/Q10)</f>
        <v>0.4765034713112317</v>
      </c>
      <c r="R18" s="16">
        <f>IF(R10=0,0,R17/R10)</f>
        <v>0.5045207286243867</v>
      </c>
      <c r="S18" s="16">
        <f>IF(S10=0,0,S17/S10)</f>
        <v>0.5054492762120893</v>
      </c>
      <c r="T18" s="16">
        <f>IF(T10=0,0,T17/T10)</f>
        <v>0.5082236340205951</v>
      </c>
      <c r="U18" s="17">
        <f>IF(U10=0,0,U17/U10)</f>
        <v>0.4972215846236185</v>
      </c>
    </row>
    <row r="19">
      <c r="F19" s="24"/>
      <c r="K19" s="24"/>
      <c r="P19" s="24"/>
      <c r="U19" s="24"/>
    </row>
    <row r="20">
      <c r="A20" s="5" t="inlineStr">
        <is>
          <t xml:space="preserve">Operating expenses:</t>
        </is>
      </c>
      <c r="F20" s="24"/>
      <c r="K20" s="24"/>
      <c r="P20" s="24"/>
      <c r="U20" s="24"/>
    </row>
    <row r="21">
      <c r="A21" t="inlineStr">
        <is>
          <t xml:space="preserve">  Research and development</t>
        </is>
      </c>
      <c r="B21" s="13">
        <v>8268</v>
      </c>
      <c r="C21" s="13">
        <v>8550</v>
      </c>
      <c r="D21" s="13">
        <v>8866</v>
      </c>
      <c r="E21" s="13">
        <v>8832</v>
      </c>
      <c r="F21" s="14">
        <f>B21+C21+D21+E21</f>
        <v>34516</v>
      </c>
      <c r="G21" s="13">
        <v>10887</v>
      </c>
      <c r="H21" s="13">
        <v>11419</v>
      </c>
      <c r="I21" s="13">
        <v>11729</v>
      </c>
      <c r="J21" s="15">
        <f>J10*$B$49</f>
        <v>11847.9837</v>
      </c>
      <c r="K21" s="14">
        <f>G21+H21+I21+J21</f>
        <v>45882.9837</v>
      </c>
      <c r="L21" s="15">
        <f>L10*$C$49</f>
        <v>16497.488980000002</v>
      </c>
      <c r="M21" s="15">
        <f>M10*$C$49</f>
        <v>12809.3552</v>
      </c>
      <c r="N21" s="15">
        <f>N10*$C$49</f>
        <v>12607.42052</v>
      </c>
      <c r="O21" s="15">
        <f>O10*$C$49</f>
        <v>13006.6489048</v>
      </c>
      <c r="P21" s="14">
        <f>L21+M21+N21+O21</f>
        <v>54920.9136048</v>
      </c>
      <c r="Q21" s="15">
        <f>Q10*$D$49</f>
        <v>17210.352663</v>
      </c>
      <c r="R21" s="15">
        <f>R10*$D$49</f>
        <v>13416.991056000004</v>
      </c>
      <c r="S21" s="15">
        <f>S10*$D$49</f>
        <v>13207.250574000002</v>
      </c>
      <c r="T21" s="15">
        <f>T10*$D$49</f>
        <v>13630.9424706</v>
      </c>
      <c r="U21" s="14">
        <f>Q21+R21+S21+T21</f>
        <v>57465.5367636</v>
      </c>
    </row>
    <row r="22">
      <c r="A22" t="inlineStr">
        <is>
          <t xml:space="preserve">  Selling, general and administrative</t>
        </is>
      </c>
      <c r="B22" s="13">
        <v>7175</v>
      </c>
      <c r="C22" s="13">
        <v>6728</v>
      </c>
      <c r="D22" s="13">
        <v>6650</v>
      </c>
      <c r="E22" s="13">
        <v>7082</v>
      </c>
      <c r="F22" s="14">
        <f>B22+C22+D22+E22</f>
        <v>27635</v>
      </c>
      <c r="G22" s="13">
        <v>7492</v>
      </c>
      <c r="H22" s="13">
        <v>7477</v>
      </c>
      <c r="I22" s="13">
        <v>7346</v>
      </c>
      <c r="J22" s="15">
        <f>J10*$B$50</f>
        <v>7334.466100000001</v>
      </c>
      <c r="K22" s="14">
        <f>G22+H22+I22+J22</f>
        <v>29649.4661</v>
      </c>
      <c r="L22" s="15">
        <f>L10*$C$50</f>
        <v>9713.47482</v>
      </c>
      <c r="M22" s="15">
        <f>M10*$C$50</f>
        <v>7541.956800000001</v>
      </c>
      <c r="N22" s="15">
        <f>N10*$C$50</f>
        <v>7423.060680000001</v>
      </c>
      <c r="O22" s="15">
        <f>O10*$C$50</f>
        <v>7658.1203832</v>
      </c>
      <c r="P22" s="14">
        <f>L22+M22+N22+O22</f>
        <v>32336.612683200005</v>
      </c>
      <c r="Q22" s="15">
        <f>Q10*$D$50</f>
        <v>10162.3034772</v>
      </c>
      <c r="R22" s="15">
        <f>R10*$D$50</f>
        <v>7922.413766400001</v>
      </c>
      <c r="S22" s="15">
        <f>S10*$D$50</f>
        <v>7798.567005600002</v>
      </c>
      <c r="T22" s="15">
        <f>T10*$D$50</f>
        <v>8048.746982640001</v>
      </c>
      <c r="U22" s="14">
        <f>Q22+R22+S22+T22</f>
        <v>33932.03123184001</v>
      </c>
    </row>
    <row r="23">
      <c r="A23" s="8" t="inlineStr">
        <is>
          <t xml:space="preserve">Total operating expenses</t>
        </is>
      </c>
      <c r="B23" s="15">
        <f>B21+B22</f>
        <v>15443</v>
      </c>
      <c r="C23" s="15">
        <f>C21+C22</f>
        <v>15278</v>
      </c>
      <c r="D23" s="15">
        <f>D21+D22</f>
        <v>15516</v>
      </c>
      <c r="E23" s="15">
        <f>E21+E22</f>
        <v>15914</v>
      </c>
      <c r="F23" s="14">
        <f>F21+F22</f>
        <v>62151</v>
      </c>
      <c r="G23" s="15">
        <f>G21+G22</f>
        <v>18379</v>
      </c>
      <c r="H23" s="15">
        <f>H21+H22</f>
        <v>18896</v>
      </c>
      <c r="I23" s="15">
        <f>I21+I22</f>
        <v>19075</v>
      </c>
      <c r="J23" s="15">
        <f>J21+J22</f>
        <v>19182.4498</v>
      </c>
      <c r="K23" s="14">
        <f>K21+K22</f>
        <v>75532.4498</v>
      </c>
      <c r="L23" s="15">
        <f>L21+L22</f>
        <v>26210.963800000005</v>
      </c>
      <c r="M23" s="15">
        <f>M21+M22</f>
        <v>20351.312</v>
      </c>
      <c r="N23" s="15">
        <f>N21+N22</f>
        <v>20030.4812</v>
      </c>
      <c r="O23" s="15">
        <f>O21+O22</f>
        <v>20664.769288</v>
      </c>
      <c r="P23" s="14">
        <f>P21+P22</f>
        <v>87257.52628800001</v>
      </c>
      <c r="Q23" s="15">
        <f>Q21+Q22</f>
        <v>27372.6561402</v>
      </c>
      <c r="R23" s="15">
        <f>R21+R22</f>
        <v>21339.404822400003</v>
      </c>
      <c r="S23" s="15">
        <f>S21+S22</f>
        <v>21005.817579600003</v>
      </c>
      <c r="T23" s="15">
        <f>T21+T22</f>
        <v>21679.689453240004</v>
      </c>
      <c r="U23" s="14">
        <f>U21+U22</f>
        <v>91397.56799544</v>
      </c>
    </row>
    <row r="24">
      <c r="A24" s="8" t="inlineStr">
        <is>
          <t xml:space="preserve">Operating income</t>
        </is>
      </c>
      <c r="B24" s="9">
        <f>B17-B23</f>
        <v>42832</v>
      </c>
      <c r="C24" s="9">
        <f>C17-C23</f>
        <v>29589</v>
      </c>
      <c r="D24" s="9">
        <f>D17-D23</f>
        <v>28202</v>
      </c>
      <c r="E24" s="9">
        <f>E17-E23</f>
        <v>32427</v>
      </c>
      <c r="F24" s="10">
        <f>F17-F23</f>
        <v>133050</v>
      </c>
      <c r="G24" s="9">
        <f>G17-G23</f>
        <v>50852</v>
      </c>
      <c r="H24" s="9">
        <f>H17-H23</f>
        <v>35885</v>
      </c>
      <c r="I24" s="9">
        <f>I17-I23</f>
        <v>35695</v>
      </c>
      <c r="J24" s="9">
        <f>J17-J23</f>
        <v>34434.2086</v>
      </c>
      <c r="K24" s="10">
        <f>K17-K23</f>
        <v>156866.2086</v>
      </c>
      <c r="L24" s="9">
        <f>L17-L23</f>
        <v>45319.855</v>
      </c>
      <c r="M24" s="9">
        <f>M17-M23</f>
        <v>38496.70719999999</v>
      </c>
      <c r="N24" s="9">
        <f>N17-N23</f>
        <v>37998.19240000001</v>
      </c>
      <c r="O24" s="9">
        <f>O17-O23</f>
        <v>39535.67794400001</v>
      </c>
      <c r="P24" s="10">
        <f>P17-P23</f>
        <v>161350.43254399998</v>
      </c>
      <c r="Q24" s="9">
        <f>Q17-Q23</f>
        <v>50730.13230180002</v>
      </c>
      <c r="R24" s="9">
        <f>R17-R23</f>
        <v>43128.69140160001</v>
      </c>
      <c r="S24" s="9">
        <f>S17-S23</f>
        <v>42571.27997640002</v>
      </c>
      <c r="T24" s="9">
        <f>T17-T23</f>
        <v>44297.140237560016</v>
      </c>
      <c r="U24" s="10">
        <f>U17-U23</f>
        <v>180727.2439173599</v>
      </c>
    </row>
    <row r="25">
      <c r="A25" s="8" t="inlineStr">
        <is>
          <t xml:space="preserve">Operating margin (%)</t>
        </is>
      </c>
      <c r="B25" s="16">
        <f>IF(B10=0,0,B24/B10)</f>
        <v>0.34458567980691873</v>
      </c>
      <c r="C25" s="16">
        <f>IF(C10=0,0,C24/C10)</f>
        <v>0.31029058610094484</v>
      </c>
      <c r="D25" s="16">
        <f>IF(D10=0,0,D24/D10)</f>
        <v>0.2999064188183249</v>
      </c>
      <c r="E25" s="16">
        <f>IF(E10=0,0,E24/E10)</f>
        <v>0.3164659496808698</v>
      </c>
      <c r="F25" s="17">
        <f>IF(F10=0,0,F24/F10)</f>
        <v>0.31970799762591884</v>
      </c>
      <c r="G25" s="16">
        <f>IF(G10=0,0,G24/G10)</f>
        <v>0.35373827875010433</v>
      </c>
      <c r="H25" s="16">
        <f>IF(H10=0,0,H24/H10)</f>
        <v>0.32275327385235286</v>
      </c>
      <c r="I25" s="16">
        <f>IF(I10=0,0,I24/I10)</f>
        <v>0.3262290137729969</v>
      </c>
      <c r="J25" s="16">
        <f>IF(J10=0,0,J24/J10)</f>
        <v>0.30516516519177855</v>
      </c>
      <c r="K25" s="17">
        <f>IF(K10=0,0,K24/K10)</f>
        <v>0.32872563275712857</v>
      </c>
      <c r="L25" s="16">
        <f>IF(L10=0,0,L24/L10)</f>
        <v>0.29393712527274557</v>
      </c>
      <c r="M25" s="16">
        <f>IF(M10=0,0,M24/M10)</f>
        <v>0.32157338180457345</v>
      </c>
      <c r="N25" s="16">
        <f>IF(N10=0,0,N24/N10)</f>
        <v>0.32249313651037004</v>
      </c>
      <c r="O25" s="16">
        <f>IF(O10=0,0,O24/O10)</f>
        <v>0.3252426947918027</v>
      </c>
      <c r="P25" s="17">
        <f>IF(P10=0,0,P24/P10)</f>
        <v>0.3143519499045462</v>
      </c>
      <c r="Q25" s="16">
        <f>IF(Q10=0,0,Q24/Q10)</f>
        <v>0.30950347131123174</v>
      </c>
      <c r="R25" s="16">
        <f>IF(R10=0,0,R24/R10)</f>
        <v>0.33752072862438676</v>
      </c>
      <c r="S25" s="16">
        <f>IF(S10=0,0,S24/S10)</f>
        <v>0.3384492762120893</v>
      </c>
      <c r="T25" s="16">
        <f>IF(T10=0,0,T24/T10)</f>
        <v>0.3412236340205951</v>
      </c>
      <c r="U25" s="17">
        <f>IF(U10=0,0,U24/U10)</f>
        <v>0.33022158462361845</v>
      </c>
    </row>
    <row r="26">
      <c r="F26" s="24"/>
      <c r="K26" s="24"/>
      <c r="P26" s="24"/>
      <c r="U26" s="24"/>
    </row>
    <row r="27">
      <c r="A27" t="inlineStr">
        <is>
          <t xml:space="preserve">Other income/(expense), net</t>
        </is>
      </c>
      <c r="B27" s="13">
        <v>-248</v>
      </c>
      <c r="C27" s="13">
        <v>-279</v>
      </c>
      <c r="D27" s="13">
        <v>-171</v>
      </c>
      <c r="E27" s="13">
        <v>-170</v>
      </c>
      <c r="F27" s="14">
        <f>B27+C27+D27+E27</f>
        <v>-868</v>
      </c>
      <c r="G27" s="13">
        <v>150</v>
      </c>
      <c r="H27" s="13">
        <v>-52</v>
      </c>
      <c r="I27" s="13">
        <v>572</v>
      </c>
      <c r="J27" s="15">
        <f>J10*$B$51</f>
        <v>338.51382</v>
      </c>
      <c r="K27" s="14">
        <f>G27+H27+I27+J27</f>
        <v>1008.51382</v>
      </c>
      <c r="L27" s="15">
        <f>L10*$C$51</f>
        <v>462.54642000000007</v>
      </c>
      <c r="M27" s="15">
        <f>M10*$C$51</f>
        <v>359.1408</v>
      </c>
      <c r="N27" s="15">
        <f>N10*$C$51</f>
        <v>353.47908000000007</v>
      </c>
      <c r="O27" s="15">
        <f>O10*$C$51</f>
        <v>364.6723992</v>
      </c>
      <c r="P27" s="14">
        <f>L27+M27+N27+O27</f>
        <v>1539.8386992</v>
      </c>
      <c r="Q27" s="15">
        <f>Q10*$D$51</f>
        <v>491.72436180000005</v>
      </c>
      <c r="R27" s="15">
        <f>R10*$D$51</f>
        <v>383.3426016000001</v>
      </c>
      <c r="S27" s="15">
        <f>S10*$D$51</f>
        <v>377.3500164000001</v>
      </c>
      <c r="T27" s="15">
        <f>T10*$D$51</f>
        <v>389.45549916</v>
      </c>
      <c r="U27" s="14">
        <f>Q27+R27+S27+T27</f>
        <v>1641.8724789600003</v>
      </c>
    </row>
    <row r="28">
      <c r="A28" s="8" t="inlineStr">
        <is>
          <t xml:space="preserve">Income before provision for income taxes</t>
        </is>
      </c>
      <c r="B28" s="9">
        <f>B24+B27</f>
        <v>42584</v>
      </c>
      <c r="C28" s="9">
        <f>C24+C27</f>
        <v>29310</v>
      </c>
      <c r="D28" s="9">
        <f>D24+D27</f>
        <v>28031</v>
      </c>
      <c r="E28" s="9">
        <f>E24+E27</f>
        <v>32257</v>
      </c>
      <c r="F28" s="10">
        <f>F24+F27</f>
        <v>132182</v>
      </c>
      <c r="G28" s="9">
        <f>G24+G27</f>
        <v>51002</v>
      </c>
      <c r="H28" s="9">
        <f>H24+H27</f>
        <v>35833</v>
      </c>
      <c r="I28" s="9">
        <f>I24+I27</f>
        <v>36267</v>
      </c>
      <c r="J28" s="9">
        <f>J24+J27</f>
        <v>34772.72242</v>
      </c>
      <c r="K28" s="10">
        <f>K24+K27</f>
        <v>157874.72242</v>
      </c>
      <c r="L28" s="9">
        <f>L24+L27</f>
        <v>45782.40142</v>
      </c>
      <c r="M28" s="9">
        <f>M24+M27</f>
        <v>38855.84799999999</v>
      </c>
      <c r="N28" s="9">
        <f>N24+N27</f>
        <v>38351.671480000005</v>
      </c>
      <c r="O28" s="9">
        <f>O24+O27</f>
        <v>39900.35034320001</v>
      </c>
      <c r="P28" s="10">
        <f>P24+P27</f>
        <v>162890.27124319997</v>
      </c>
      <c r="Q28" s="9">
        <f>Q24+Q27</f>
        <v>51221.85666360002</v>
      </c>
      <c r="R28" s="9">
        <f>R24+R27</f>
        <v>43512.03400320001</v>
      </c>
      <c r="S28" s="9">
        <f>S24+S27</f>
        <v>42948.62999280002</v>
      </c>
      <c r="T28" s="9">
        <f>T24+T27</f>
        <v>44686.59573672002</v>
      </c>
      <c r="U28" s="10">
        <f>U24+U27</f>
        <v>182369.1163963199</v>
      </c>
    </row>
    <row r="29">
      <c r="A29" t="inlineStr">
        <is>
          <t xml:space="preserve">Provision for income taxes</t>
        </is>
      </c>
      <c r="B29" s="13">
        <v>6254</v>
      </c>
      <c r="C29" s="13">
        <v>4530</v>
      </c>
      <c r="D29" s="13">
        <v>4597</v>
      </c>
      <c r="E29" s="13">
        <v>4791</v>
      </c>
      <c r="F29" s="14">
        <f>B29+C29+D29+E29</f>
        <v>20172</v>
      </c>
      <c r="G29" s="13">
        <v>8905</v>
      </c>
      <c r="H29" s="13">
        <v>6255</v>
      </c>
      <c r="I29" s="13">
        <v>6478</v>
      </c>
      <c r="J29" s="15">
        <f>J28*$B$52</f>
        <v>5737.4991993</v>
      </c>
      <c r="K29" s="14">
        <f>G29+H29+I29+J29</f>
        <v>27375.4991993</v>
      </c>
      <c r="L29" s="15">
        <f>L28*$C$52</f>
        <v>7554.096234300001</v>
      </c>
      <c r="M29" s="15">
        <f>M28*$C$52</f>
        <v>6411.2149199999985</v>
      </c>
      <c r="N29" s="15">
        <f>N28*$C$52</f>
        <v>6328.025794200001</v>
      </c>
      <c r="O29" s="15">
        <f>O28*$C$52</f>
        <v>6583.557806628001</v>
      </c>
      <c r="P29" s="14">
        <f>L29+M29+N29+O29</f>
        <v>26876.894755128</v>
      </c>
      <c r="Q29" s="15">
        <f>Q28*$D$52</f>
        <v>8451.606349494003</v>
      </c>
      <c r="R29" s="15">
        <f>R28*$D$52</f>
        <v>7179.485610528002</v>
      </c>
      <c r="S29" s="15">
        <f>S28*$D$52</f>
        <v>7086.523948812004</v>
      </c>
      <c r="T29" s="15">
        <f>T28*$D$52</f>
        <v>7373.288296558803</v>
      </c>
      <c r="U29" s="14">
        <f>Q29+R29+S29+T29</f>
        <v>30090.90420539281</v>
      </c>
    </row>
    <row r="30">
      <c r="A30" t="inlineStr">
        <is>
          <t xml:space="preserve">Effective tax rate (%)</t>
        </is>
      </c>
      <c r="B30" s="16">
        <f>IF(B28=0,0,B29/B28)</f>
        <v>0.14686267142588766</v>
      </c>
      <c r="C30" s="16">
        <f>IF(C28=0,0,C29/C28)</f>
        <v>0.15455475946775846</v>
      </c>
      <c r="D30" s="16">
        <f>IF(D28=0,0,D29/D28)</f>
        <v>0.16399700331775535</v>
      </c>
      <c r="E30" s="16">
        <f>IF(E28=0,0,E29/E28)</f>
        <v>0.1485259013547447</v>
      </c>
      <c r="F30" s="17">
        <f>IF(F28=0,0,F29/F28)</f>
        <v>0.1526077680773479</v>
      </c>
      <c r="G30" s="16">
        <f>IF(G28=0,0,G29/G28)</f>
        <v>0.174600996039371</v>
      </c>
      <c r="H30" s="16">
        <f>IF(H28=0,0,H29/H28)</f>
        <v>0.17455976334663578</v>
      </c>
      <c r="I30" s="16">
        <f>IF(I28=0,0,I29/I28)</f>
        <v>0.1786196818043952</v>
      </c>
      <c r="J30" s="16">
        <f>IF(J28=0,0,J29/J28)</f>
        <v>0.165</v>
      </c>
      <c r="K30" s="17">
        <f>IF(K28=0,0,K29/K28)</f>
        <v>0.1734001414518528</v>
      </c>
      <c r="L30" s="16">
        <f>IF(L28=0,0,L29/L28)</f>
        <v>0.165</v>
      </c>
      <c r="M30" s="16">
        <f>IF(M28=0,0,M29/M28)</f>
        <v>0.165</v>
      </c>
      <c r="N30" s="16">
        <f>IF(N28=0,0,N29/N28)</f>
        <v>0.165</v>
      </c>
      <c r="O30" s="16">
        <f>IF(O28=0,0,O29/O28)</f>
        <v>0.165</v>
      </c>
      <c r="P30" s="17">
        <f>IF(P28=0,0,P29/P28)</f>
        <v>0.16500000000000004</v>
      </c>
      <c r="Q30" s="16">
        <f>IF(Q28=0,0,Q29/Q28)</f>
        <v>0.165</v>
      </c>
      <c r="R30" s="16">
        <f>IF(R28=0,0,R29/R28)</f>
        <v>0.165</v>
      </c>
      <c r="S30" s="16">
        <f>IF(S28=0,0,S29/S28)</f>
        <v>0.165</v>
      </c>
      <c r="T30" s="16">
        <f>IF(T28=0,0,T29/T28)</f>
        <v>0.165</v>
      </c>
      <c r="U30" s="17">
        <f>IF(U28=0,0,U29/U28)</f>
        <v>0.16500000000000012</v>
      </c>
    </row>
    <row r="31">
      <c r="A31" s="8" t="inlineStr">
        <is>
          <t xml:space="preserve">Net income</t>
        </is>
      </c>
      <c r="B31" s="9">
        <f>B28-B29</f>
        <v>36330</v>
      </c>
      <c r="C31" s="9">
        <f>C28-C29</f>
        <v>24780</v>
      </c>
      <c r="D31" s="9">
        <f>D28-D29</f>
        <v>23434</v>
      </c>
      <c r="E31" s="9">
        <f>E28-E29</f>
        <v>27466</v>
      </c>
      <c r="F31" s="10">
        <f>F28-F29</f>
        <v>112010</v>
      </c>
      <c r="G31" s="9">
        <f>G28-G29</f>
        <v>42097</v>
      </c>
      <c r="H31" s="9">
        <f>H28-H29</f>
        <v>29578</v>
      </c>
      <c r="I31" s="9">
        <f>I28-I29</f>
        <v>29789</v>
      </c>
      <c r="J31" s="9">
        <f>J28-J29</f>
        <v>29035.2232207</v>
      </c>
      <c r="K31" s="10">
        <f>K28-K29</f>
        <v>130499.2232207</v>
      </c>
      <c r="L31" s="9">
        <f>L28-L29</f>
        <v>38228.3051857</v>
      </c>
      <c r="M31" s="9">
        <f>M28-M29</f>
        <v>32444.633079999992</v>
      </c>
      <c r="N31" s="9">
        <f>N28-N29</f>
        <v>32023.6456858</v>
      </c>
      <c r="O31" s="9">
        <f>O28-O29</f>
        <v>33316.79253657201</v>
      </c>
      <c r="P31" s="10">
        <f>P28-P29</f>
        <v>136013.37648807198</v>
      </c>
      <c r="Q31" s="9">
        <f>Q28-Q29</f>
        <v>42770.250314106015</v>
      </c>
      <c r="R31" s="9">
        <f>R28-R29</f>
        <v>36332.548392672</v>
      </c>
      <c r="S31" s="9">
        <f>S28-S29</f>
        <v>35862.10604398802</v>
      </c>
      <c r="T31" s="9">
        <f>T28-T29</f>
        <v>37313.30744016121</v>
      </c>
      <c r="U31" s="10">
        <f>U28-U29</f>
        <v>152278.21219092712</v>
      </c>
    </row>
    <row r="32">
      <c r="A32" s="8" t="inlineStr">
        <is>
          <t xml:space="preserve">Net margin (%)</t>
        </is>
      </c>
      <c r="B32" s="16">
        <f>IF(B10=0,0,B31/B10)</f>
        <v>0.2922767497988737</v>
      </c>
      <c r="C32" s="16">
        <f>IF(C10=0,0,C31/C10)</f>
        <v>0.25986010759341016</v>
      </c>
      <c r="D32" s="16">
        <f>IF(D10=0,0,D31/D10)</f>
        <v>0.24920243311072351</v>
      </c>
      <c r="E32" s="16">
        <f>IF(E10=0,0,E31/E10)</f>
        <v>0.2680498897195167</v>
      </c>
      <c r="F32" s="17">
        <f>IF(F10=0,0,F31/F10)</f>
        <v>0.2691506412181824</v>
      </c>
      <c r="G32" s="16">
        <f>IF(G10=0,0,G31/G10)</f>
        <v>0.292836472912435</v>
      </c>
      <c r="H32" s="16">
        <f>IF(H10=0,0,H31/H10)</f>
        <v>0.2660274859692042</v>
      </c>
      <c r="I32" s="16">
        <f>IF(I10=0,0,I31/I10)</f>
        <v>0.2722520266503377</v>
      </c>
      <c r="J32" s="16">
        <f>IF(J10=0,0,J31/J10)</f>
        <v>0.2573179129351351</v>
      </c>
      <c r="K32" s="17">
        <f>IF(K10=0,0,K31/K10)</f>
        <v>0.2734715150598621</v>
      </c>
      <c r="L32" s="16">
        <f>IF(L10=0,0,L31/L10)</f>
        <v>0.24794249960274256</v>
      </c>
      <c r="M32" s="16">
        <f>IF(M10=0,0,M31/M10)</f>
        <v>0.2710187738068189</v>
      </c>
      <c r="N32" s="16">
        <f>IF(N10=0,0,N31/N10)</f>
        <v>0.27178676898615894</v>
      </c>
      <c r="O32" s="16">
        <f>IF(O10=0,0,O31/O10)</f>
        <v>0.27408265015115524</v>
      </c>
      <c r="P32" s="17">
        <f>IF(P10=0,0,P31/P10)</f>
        <v>0.26498887817029604</v>
      </c>
      <c r="Q32" s="16">
        <f>IF(Q10=0,0,Q31/Q10)</f>
        <v>0.2609403985448785</v>
      </c>
      <c r="R32" s="16">
        <f>IF(R10=0,0,R31/R10)</f>
        <v>0.2843348084013629</v>
      </c>
      <c r="S32" s="16">
        <f>IF(S10=0,0,S31/S10)</f>
        <v>0.2851101456370946</v>
      </c>
      <c r="T32" s="16">
        <f>IF(T10=0,0,T31/T10)</f>
        <v>0.2874267344071969</v>
      </c>
      <c r="U32" s="17">
        <f>IF(U10=0,0,U31/U10)</f>
        <v>0.27824002316072133</v>
      </c>
    </row>
    <row r="33">
      <c r="F33" s="24"/>
      <c r="K33" s="24"/>
      <c r="P33" s="24"/>
      <c r="U33" s="24"/>
    </row>
    <row r="34">
      <c r="A34" s="5" t="inlineStr">
        <is>
          <t xml:space="preserve">Earnings per share:</t>
        </is>
      </c>
      <c r="F34" s="24"/>
      <c r="K34" s="24"/>
      <c r="P34" s="24"/>
      <c r="U34" s="24"/>
    </row>
    <row r="35">
      <c r="A35" t="inlineStr">
        <is>
          <t xml:space="preserve">  Basic</t>
        </is>
      </c>
      <c r="B35" s="18">
        <f>IF(B39=0,0,B31*1000/B39)</f>
        <v>2.407996536939085</v>
      </c>
      <c r="C35" s="18">
        <f>IF(C39=0,0,C31*1000/C39)</f>
        <v>1.6526803534121546</v>
      </c>
      <c r="D35" s="18">
        <f>IF(D39=0,0,D31*1000/D39)</f>
        <v>1.5724471085667568</v>
      </c>
      <c r="E35" s="18">
        <f>IF(E39=0,0,E31*1000/E39)</f>
        <v>1.8505331652451464</v>
      </c>
      <c r="F35" s="19">
        <f>IF(F39=0,0,F31*1000/F39)</f>
        <v>7.489032680708474</v>
      </c>
      <c r="G35" s="18">
        <f>IF(G39=0,0,G31*1000/G39)</f>
        <v>2.854390358443407</v>
      </c>
      <c r="H35" s="18">
        <f>IF(H39=0,0,H31*1000/H39)</f>
        <v>2.0157732999929054</v>
      </c>
      <c r="I35" s="18">
        <f>IF(I39=0,0,I31*1000/I39)</f>
        <v>2.032531142301743</v>
      </c>
      <c r="J35" s="18">
        <f>IF(J39=0,0,J31*1000/J39)</f>
        <v>1.995065712420914</v>
      </c>
      <c r="K35" s="19">
        <f>IF(K39=0,0,K31*1000/K39)</f>
        <v>8.903077533118745</v>
      </c>
      <c r="L35" s="18">
        <f>IF(L39=0,0,L31*1000/L39)</f>
        <v>2.645256751703854</v>
      </c>
      <c r="M35" s="18">
        <f>IF(M39=0,0,M31*1000/M39)</f>
        <v>2.260874240296335</v>
      </c>
      <c r="N35" s="18">
        <f>IF(N39=0,0,N31*1000/N39)</f>
        <v>2.247269006248246</v>
      </c>
      <c r="O35" s="18">
        <f>IF(O39=0,0,O31*1000/O39)</f>
        <v>2.354497459209899</v>
      </c>
      <c r="P35" s="19">
        <f>IF(P39=0,0,P31*1000/P39)</f>
        <v>9.511021041232532</v>
      </c>
      <c r="Q35" s="18">
        <f>IF(Q39=0,0,Q31*1000/Q39)</f>
        <v>3.0438804067691216</v>
      </c>
      <c r="R35" s="18">
        <f>IF(R39=0,0,R31*1000/R39)</f>
        <v>2.6039485879298128</v>
      </c>
      <c r="S35" s="18">
        <f>IF(S39=0,0,S31*1000/S39)</f>
        <v>2.5883505050882265</v>
      </c>
      <c r="T35" s="18">
        <f>IF(T39=0,0,T31*1000/T39)</f>
        <v>2.71207561662704</v>
      </c>
      <c r="U35" s="19">
        <f>IF(U39=0,0,U31*1000/U39)</f>
        <v>10.951819964898451</v>
      </c>
    </row>
    <row r="36">
      <c r="A36" t="inlineStr">
        <is>
          <t xml:space="preserve">  Diluted</t>
        </is>
      </c>
      <c r="B36" s="11">
        <f>IF(B40=0,0,B31*1000/B40)</f>
        <v>2.397882893154945</v>
      </c>
      <c r="C36" s="11">
        <f>IF(C40=0,0,C31*1000/C40)</f>
        <v>1.6458408247429257</v>
      </c>
      <c r="D36" s="11">
        <f>IF(D40=0,0,D31*1000/D40)</f>
        <v>1.5676825919732431</v>
      </c>
      <c r="E36" s="11">
        <f>IF(E40=0,0,E31*1000/E40)</f>
        <v>1.8427529142480508</v>
      </c>
      <c r="F36" s="12">
        <f>IF(F40=0,0,F31*1000/F40)</f>
        <v>7.459867001114152</v>
      </c>
      <c r="G36" s="11">
        <f>IF(G40=0,0,G31*1000/G40)</f>
        <v>2.842402978024296</v>
      </c>
      <c r="H36" s="11">
        <f>IF(H40=0,0,H31*1000/H40)</f>
        <v>2.008573480935665</v>
      </c>
      <c r="I36" s="11">
        <f>IF(I40=0,0,I31*1000/I40)</f>
        <v>2.0244414487957467</v>
      </c>
      <c r="J36" s="11">
        <f>IF(J40=0,0,J31*1000/J40)</f>
        <v>1.9871251353729624</v>
      </c>
      <c r="K36" s="12">
        <f>IF(K40=0,0,K31*1000/K40)</f>
        <v>8.868060138957892</v>
      </c>
      <c r="L36" s="11">
        <f>IF(L40=0,0,L31*1000/L40)</f>
        <v>2.634728344084122</v>
      </c>
      <c r="M36" s="11">
        <f>IF(M40=0,0,M31*1000/M40)</f>
        <v>2.2518757165940673</v>
      </c>
      <c r="N36" s="11">
        <f>IF(N40=0,0,N31*1000/N40)</f>
        <v>2.2383246328471644</v>
      </c>
      <c r="O36" s="11">
        <f>IF(O40=0,0,O31*1000/O40)</f>
        <v>2.345126304982916</v>
      </c>
      <c r="P36" s="12">
        <f>IF(P40=0,0,P31*1000/P40)</f>
        <v>9.473166150081628</v>
      </c>
      <c r="Q36" s="11">
        <f>IF(Q40=0,0,Q31*1000/Q40)</f>
        <v>3.0317654339418003</v>
      </c>
      <c r="R36" s="11">
        <f>IF(R40=0,0,R31*1000/R40)</f>
        <v>2.593584591264124</v>
      </c>
      <c r="S36" s="11">
        <f>IF(S40=0,0,S31*1000/S40)</f>
        <v>2.578048590477195</v>
      </c>
      <c r="T36" s="11">
        <f>IF(T40=0,0,T31*1000/T40)</f>
        <v>2.7012812627069556</v>
      </c>
      <c r="U36" s="12">
        <f>IF(U40=0,0,U31*1000/U40)</f>
        <v>10.908230538392276</v>
      </c>
    </row>
    <row r="37">
      <c r="F37" s="24"/>
      <c r="K37" s="24"/>
      <c r="P37" s="24"/>
      <c r="U37" s="24"/>
    </row>
    <row r="38">
      <c r="A38" s="5" t="inlineStr">
        <is>
          <t xml:space="preserve">Weighted-average shares outstanding (000s):</t>
        </is>
      </c>
      <c r="F38" s="24"/>
      <c r="K38" s="24"/>
      <c r="P38" s="24"/>
      <c r="U38" s="24"/>
    </row>
    <row r="39">
      <c r="A39" t="inlineStr">
        <is>
          <t xml:space="preserve">  Basic</t>
        </is>
      </c>
      <c r="B39" s="20">
        <v>15087231</v>
      </c>
      <c r="C39" s="20">
        <v>14993825</v>
      </c>
      <c r="D39" s="20">
        <v>14902886</v>
      </c>
      <c r="E39" s="20">
        <v>14842209</v>
      </c>
      <c r="F39" s="21">
        <f>AVERAGE(B39,C39,D39,E39)</f>
        <v>14956537.75</v>
      </c>
      <c r="G39" s="20">
        <v>14748158</v>
      </c>
      <c r="H39" s="20">
        <v>14673277</v>
      </c>
      <c r="I39" s="20">
        <v>14656110</v>
      </c>
      <c r="J39" s="22">
        <f>I39*(1+$B$53)</f>
        <v>14553517.23</v>
      </c>
      <c r="K39" s="21">
        <f>AVERAGE(G39,H39,I39,J39)</f>
        <v>14657765.5575</v>
      </c>
      <c r="L39" s="22">
        <f>J39*(1+$C$53)</f>
        <v>14451642.60939</v>
      </c>
      <c r="M39" s="22">
        <f>L39*(1+$C$53)</f>
        <v>14350481.11112427</v>
      </c>
      <c r="N39" s="22">
        <f>M39*(1+$C$53)</f>
        <v>14250027.7433464</v>
      </c>
      <c r="O39" s="22">
        <f>N39*(1+$C$53)</f>
        <v>14150277.549142975</v>
      </c>
      <c r="P39" s="21">
        <f>AVERAGE(L39,M39,N39,O39)</f>
        <v>14300607.253250912</v>
      </c>
      <c r="Q39" s="22">
        <f>O39*(1+$D$53)</f>
        <v>14051225.606298974</v>
      </c>
      <c r="R39" s="22">
        <f>Q39*(1+$D$53)</f>
        <v>13952867.027054882</v>
      </c>
      <c r="S39" s="22">
        <f>R39*(1+$D$53)</f>
        <v>13855196.957865495</v>
      </c>
      <c r="T39" s="22">
        <f>S39*(1+$D$53)</f>
        <v>13758210.57916044</v>
      </c>
      <c r="U39" s="21">
        <f>AVERAGE(Q39,R39,S39,T39)</f>
        <v>13904375.042594949</v>
      </c>
    </row>
    <row r="40">
      <c r="A40" t="inlineStr">
        <is>
          <t xml:space="preserve">  Diluted</t>
        </is>
      </c>
      <c r="B40" s="20">
        <v>15150865</v>
      </c>
      <c r="C40" s="20">
        <v>15056134</v>
      </c>
      <c r="D40" s="20">
        <v>14948179</v>
      </c>
      <c r="E40" s="20">
        <v>14904874</v>
      </c>
      <c r="F40" s="21">
        <f>AVERAGE(B40,C40,D40,E40)</f>
        <v>15015013</v>
      </c>
      <c r="G40" s="20">
        <v>14810356</v>
      </c>
      <c r="H40" s="20">
        <v>14725874</v>
      </c>
      <c r="I40" s="20">
        <v>14714676</v>
      </c>
      <c r="J40" s="22">
        <f>I40*(1+$B$53)</f>
        <v>14611673.268</v>
      </c>
      <c r="K40" s="21">
        <f>AVERAGE(G40,H40,I40,J40)</f>
        <v>14715644.817</v>
      </c>
      <c r="L40" s="22">
        <f>J40*(1+$C$53)</f>
        <v>14509391.555124</v>
      </c>
      <c r="M40" s="22">
        <f>L40*(1+$C$53)</f>
        <v>14407825.814238133</v>
      </c>
      <c r="N40" s="22">
        <f>M40*(1+$C$53)</f>
        <v>14306971.033538464</v>
      </c>
      <c r="O40" s="22">
        <f>N40*(1+$C$53)</f>
        <v>14206822.236303696</v>
      </c>
      <c r="P40" s="21">
        <f>AVERAGE(L40,M40,N40,O40)</f>
        <v>14357752.659801072</v>
      </c>
      <c r="Q40" s="22">
        <f>O40*(1+$D$53)</f>
        <v>14107374.480649568</v>
      </c>
      <c r="R40" s="22">
        <f>Q40*(1+$D$53)</f>
        <v>14008622.85928502</v>
      </c>
      <c r="S40" s="22">
        <f>R40*(1+$D$53)</f>
        <v>13910562.499270026</v>
      </c>
      <c r="T40" s="22">
        <f>S40*(1+$D$53)</f>
        <v>13813188.561775137</v>
      </c>
      <c r="U40" s="21">
        <f>AVERAGE(Q40,R40,S40,T40)</f>
        <v>13959937.100244936</v>
      </c>
    </row>
    <row r="43">
      <c r="A43" s="6" t="inlineStr">
        <is>
          <t xml:space="preserve">KEY FORECAST ASSUMPTIONS</t>
        </is>
      </c>
    </row>
    <row r="44">
      <c r="B44" s="7" t="inlineStr">
        <is>
          <t xml:space="preserve">Q4 FY26E</t>
        </is>
      </c>
      <c r="C44" s="7" t="inlineStr">
        <is>
          <t xml:space="preserve">FY2027E</t>
        </is>
      </c>
      <c r="D44" s="7" t="inlineStr">
        <is>
          <t xml:space="preserve">FY2028E</t>
        </is>
      </c>
    </row>
    <row r="45">
      <c r="A45" t="inlineStr">
        <is>
          <t xml:space="preserve">Products revenue growth % YoY</t>
        </is>
      </c>
      <c r="B45" s="23">
        <v>0.09</v>
      </c>
      <c r="C45" s="23">
        <v>0.06</v>
      </c>
      <c r="D45" s="23">
        <v>0.05</v>
      </c>
    </row>
    <row r="46">
      <c r="A46" t="inlineStr">
        <is>
          <t xml:space="preserve">Services revenue growth % YoY</t>
        </is>
      </c>
      <c r="B46" s="23">
        <v>0.13</v>
      </c>
      <c r="C46" s="23">
        <v>0.12</v>
      </c>
      <c r="D46" s="23">
        <v>0.11</v>
      </c>
    </row>
    <row r="47">
      <c r="A47" t="inlineStr">
        <is>
          <t xml:space="preserve">Products gross margin %</t>
        </is>
      </c>
      <c r="B47" s="23">
        <v>0.36</v>
      </c>
      <c r="C47" s="23">
        <v>0.38</v>
      </c>
      <c r="D47" s="23">
        <v>0.39</v>
      </c>
    </row>
    <row r="48">
      <c r="A48" t="inlineStr">
        <is>
          <t xml:space="preserve">Services gross margin %</t>
        </is>
      </c>
      <c r="B48" s="23">
        <v>0.76</v>
      </c>
      <c r="C48" s="23">
        <v>0.765</v>
      </c>
      <c r="D48" s="23">
        <v>0.77</v>
      </c>
    </row>
    <row r="49">
      <c r="A49" t="inlineStr">
        <is>
          <t xml:space="preserve">R&amp;D as % of net sales</t>
        </is>
      </c>
      <c r="B49" s="23">
        <v>0.105</v>
      </c>
      <c r="C49" s="23">
        <v>0.107</v>
      </c>
      <c r="D49" s="23">
        <v>0.105</v>
      </c>
    </row>
    <row r="50">
      <c r="A50" t="inlineStr">
        <is>
          <t xml:space="preserve">SG&amp;A as % of net sales</t>
        </is>
      </c>
      <c r="B50" s="23">
        <v>0.065</v>
      </c>
      <c r="C50" s="23">
        <v>0.063</v>
      </c>
      <c r="D50" s="23">
        <v>0.062</v>
      </c>
    </row>
    <row r="51">
      <c r="A51" t="inlineStr">
        <is>
          <t xml:space="preserve">Other income/(expense) as % of net sales</t>
        </is>
      </c>
      <c r="B51" s="23">
        <v>0.003</v>
      </c>
      <c r="C51" s="23">
        <v>0.003</v>
      </c>
      <c r="D51" s="23">
        <v>0.003</v>
      </c>
    </row>
    <row r="52">
      <c r="A52" t="inlineStr">
        <is>
          <t xml:space="preserve">Effective tax rate %</t>
        </is>
      </c>
      <c r="B52" s="23">
        <v>0.165</v>
      </c>
      <c r="C52" s="23">
        <v>0.165</v>
      </c>
      <c r="D52" s="23">
        <v>0.165</v>
      </c>
    </row>
    <row r="53">
      <c r="A53" t="inlineStr">
        <is>
          <t xml:space="preserve">Diluted shares Q/Q change % (buyback pace)</t>
        </is>
      </c>
      <c r="B53" s="23">
        <v>-0.007</v>
      </c>
      <c r="C53" s="23">
        <v>-0.007</v>
      </c>
      <c r="D53" s="23">
        <v>-0.007</v>
      </c>
    </row>
    <row r="55">
      <c r="A55" s="5" t="inlineStr">
        <is>
          <t xml:space="preserve">Sources &amp; Notes</t>
        </is>
      </c>
    </row>
    <row r="56" ht="19.5" customHeight="1">
      <c r="A56" s="25" t="inlineStr">
        <is>
          <t xml:space="preserve">Historicals: Apple 8-K press releases &amp; 10-Q/10-K filings (Q1 FY26 8-K filed Jan-2026; Q3 FY26 10-Q filed Jul-2026; FY2025 10-K filed Oct-2025).</t>
        </is>
      </c>
    </row>
    <row r="57" ht="19.5" customHeight="1">
      <c r="A57" s="25" t="inlineStr">
        <is>
          <t xml:space="preserve">Q2 FY25, Q2 FY26 and Q4 FY25 are DERIVED (9-month or full-year reported totals less the other reported quarters); R&amp;D/SG&amp;A and Products/Services cost split for Q4 FY25 are estimated pro-rata (exact quarterly split not separately disclosed).</t>
        </is>
      </c>
    </row>
    <row r="58" ht="19.5" customHeight="1">
      <c r="A58" s="25" t="inlineStr">
        <is>
          <t xml:space="preserve">Q4 FY26E built off Apple's Jul-30-2026 earnings call guidance: total revenue +9-11% YoY, gross margin 47-48% (incl. ~1pt tariff-refund benefit), opex $19.1-19.4bn, OI&amp;E ~$350mm, tax rate ~16.5%.</t>
        </is>
      </c>
    </row>
    <row r="59" ht="19.5" customHeight="1">
      <c r="A59" s="25" t="inlineStr">
        <is>
          <t xml:space="preserve">FY2027E/FY2028E are modeled forecasts off blue assumption cells (rows 45-53) - edit those cells to run scenarios. Not guidance from Apple.</t>
        </is>
      </c>
    </row>
  </sheetData>
  <mergeCells count="8">
    <mergeCell ref="B4:F4"/>
    <mergeCell ref="G4:K4"/>
    <mergeCell ref="L4:P4"/>
    <mergeCell ref="Q4:U4"/>
    <mergeCell ref="A56:U56"/>
    <mergeCell ref="A57:U57"/>
    <mergeCell ref="A58:U58"/>
    <mergeCell ref="A59:U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2026-08-17T23:26:33Z</dcterms:created>
  <dcterms:modified xsi:type="dcterms:W3CDTF">2026-08-17T23:26:33Z</dcterms:modified>
</cp:coreProperties>
</file>