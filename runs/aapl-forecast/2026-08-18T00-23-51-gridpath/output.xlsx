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40" authorId="0">
      <text>
        <r>
          <t>Forecast drivers underlying the estimate columns (Q4 FY26E onward). Revenue growth and Services growth are YoY vs. the same quarter one year prior; diluted share growth is sequential (QoQ), reflecting ongoing buybacks. Q4 FY26E uses Apple's own guidance (revenue +9-11% YoY, gross margin 47-48%) given on the Q3 FY26 earnings call (7/30/26); FY27-FY28 assumptions are independent estimates reflecting a deceleration to high-single-digit revenue growth and gradual gross-margin recovery as memory-cost/supply pressure eases.</t>
        </r>
      </text>
    </comment>
  </commentList>
</comments>
</file>

<file path=xl/sharedStrings.xml><?xml version="1.0" encoding="utf-8"?>
<sst xmlns="http://schemas.openxmlformats.org/spreadsheetml/2006/main" count="71" uniqueCount="51">
  <si>
    <t>Apple Inc. (AAPL) — Income Statement Forecast, FY2026E–FY2028E (Quarterly)</t>
  </si>
  <si>
    <t>$ in millions, except per-share amounts and percentages · Fiscal year ends last Saturday of September · FY26 Q1-Q3 = reported actuals; Q4 FY26 onward = estimates</t>
  </si>
  <si>
    <t>Fiscal Period</t>
  </si>
  <si>
    <t>FY2025A</t>
  </si>
  <si>
    <t>Q4 FY25A</t>
  </si>
  <si>
    <t>Q1 FY26A</t>
  </si>
  <si>
    <t>Q2 FY26A</t>
  </si>
  <si>
    <t>Q3 FY26A</t>
  </si>
  <si>
    <t>Q4 FY26E</t>
  </si>
  <si>
    <t>FY2026E</t>
  </si>
  <si>
    <t>Q1 FY27E</t>
  </si>
  <si>
    <t>Q2 FY27E</t>
  </si>
  <si>
    <t>Q3 FY27E</t>
  </si>
  <si>
    <t>Q4 FY27E</t>
  </si>
  <si>
    <t>FY2027E</t>
  </si>
  <si>
    <t>Q1 FY28E</t>
  </si>
  <si>
    <t>Q2 FY28E</t>
  </si>
  <si>
    <t>Q3 FY28E</t>
  </si>
  <si>
    <t>Q4 FY28E</t>
  </si>
  <si>
    <t>FY2028E</t>
  </si>
  <si>
    <t>Net Sales</t>
  </si>
  <si>
    <t xml:space="preserve">  Products</t>
  </si>
  <si>
    <t xml:space="preserve">  Services</t>
  </si>
  <si>
    <t>Total net sales</t>
  </si>
  <si>
    <t xml:space="preserve">  % growth, YoY</t>
  </si>
  <si>
    <t>Cost of Sales</t>
  </si>
  <si>
    <t>Total cost of sales</t>
  </si>
  <si>
    <t>Gross margin</t>
  </si>
  <si>
    <t xml:space="preserve">  Gross margin %</t>
  </si>
  <si>
    <t xml:space="preserve">  Products gross margin % (memo)</t>
  </si>
  <si>
    <t xml:space="preserve">  Services gross margin % (memo)</t>
  </si>
  <si>
    <t>Operating Expenses</t>
  </si>
  <si>
    <t xml:space="preserve">  Research and development</t>
  </si>
  <si>
    <t xml:space="preserve">  Selling, general and administrative</t>
  </si>
  <si>
    <t>Total operating expenses</t>
  </si>
  <si>
    <t>Operating income</t>
  </si>
  <si>
    <t xml:space="preserve">  Operating margin %</t>
  </si>
  <si>
    <t>Other income/(expense), net</t>
  </si>
  <si>
    <t>Income before provision for income taxes</t>
  </si>
  <si>
    <t>Provision for income taxes</t>
  </si>
  <si>
    <t xml:space="preserve">  Effective tax rate %</t>
  </si>
  <si>
    <t>Net income</t>
  </si>
  <si>
    <t xml:space="preserve">  Net margin %</t>
  </si>
  <si>
    <t>Diluted shares outstanding (000s)</t>
  </si>
  <si>
    <t>Diluted EPS</t>
  </si>
  <si>
    <t>FORECAST DRIVER ASSUMPTIONS  (blue = input; estimate periods only)</t>
  </si>
  <si>
    <t>Total net sales growth, % YoY</t>
  </si>
  <si>
    <t>Services net sales growth, % YoY</t>
  </si>
  <si>
    <t>R&amp;D growth, % YoY</t>
  </si>
  <si>
    <t>SG&amp;A growth, % YoY</t>
  </si>
  <si>
    <t>Diluted shares growth, % QoQ (buyback effect)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</si>
</sst>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(#,##0);-"/>
    <numFmt numFmtId="165" formatCode="0.0%;(0.0%);-"/>
    <numFmt numFmtId="166" formatCode="$#,##0.00"/>
  </numFmts>
  <fonts count="7" x14ac:knownFonts="1">
    <font>
      <color theme="1"/>
      <family val="2"/>
      <scheme val="minor"/>
      <sz val="11"/>
      <name val="Calibri"/>
    </font>
    <font>
      <b/>
      <color rgb="FF1F4E79"/>
      <sz val="15"/>
      <name val="Calibri"/>
    </font>
    <font>
      <i/>
      <color rgb="FF555555"/>
      <sz val="9"/>
      <name val="Calibri"/>
    </font>
    <font>
      <name val="Calibri"/>
    </font>
    <font>
      <b/>
      <color rgb="FFFFFFFF"/>
      <name val="Calibri"/>
    </font>
    <font>
      <b/>
      <name val="Calibri"/>
    </font>
    <font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5C8A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/>
    <xf numFmtId="164" fontId="6" fillId="0" borderId="0" xfId="0" applyNumberFormat="1" applyFont="1"/>
    <xf numFmtId="164" fontId="3" fillId="0" borderId="0" xfId="0" applyNumberFormat="1" applyFont="1"/>
    <xf numFmtId="164" fontId="5" fillId="0" borderId="0" xfId="0" applyNumberFormat="1" applyFont="1"/>
    <xf numFmtId="165" fontId="3" fillId="0" borderId="0" xfId="0" applyNumberFormat="1" applyFont="1"/>
    <xf numFmtId="165" fontId="6" fillId="0" borderId="0" xfId="0" applyNumberFormat="1" applyFont="1"/>
    <xf numFmtId="3" fontId="6" fillId="0" borderId="0" xfId="0" applyNumberFormat="1" applyFont="1"/>
    <xf numFmtId="3" fontId="3" fillId="0" borderId="0" xfId="0" applyNumberFormat="1" applyFont="1"/>
    <xf numFmtId="166" fontId="5" fillId="0" borderId="0" xfId="0" applyNumberFormat="1" applyFont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7.857142857142854" customWidth="1"/>
    <col min="2" max="18" width="12.428571428571429" customWidth="1"/>
  </cols>
  <sheetData>
    <row r="1" ht="19.504876219054765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15.003750937734434" customHeight="1" spans="1:18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5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5" t="s">
        <v>19</v>
      </c>
    </row>
    <row r="5" spans="1:18" x14ac:dyDescent="0.25">
      <c r="A5" s="6" t="s">
        <v>20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25">
      <c r="A6" s="3" t="s">
        <v>21</v>
      </c>
      <c r="B6" s="7">
        <v>307003</v>
      </c>
      <c r="C6" s="7">
        <v>73716</v>
      </c>
      <c r="D6" s="7">
        <v>113743</v>
      </c>
      <c r="E6" s="7">
        <v>80208</v>
      </c>
      <c r="F6" s="7">
        <v>78678</v>
      </c>
      <c r="G6" s="8">
        <f>G8-G7</f>
        <v>80512.6</v>
      </c>
      <c r="H6" s="8">
        <f>D6+E6+F6+G6</f>
        <v>353141.6</v>
      </c>
      <c r="I6" s="8">
        <f>I8-I7</f>
        <v>118466.67000000001</v>
      </c>
      <c r="J6" s="8">
        <f>J8-J7</f>
        <v>83964</v>
      </c>
      <c r="K6" s="8">
        <f>K8-K7</f>
        <v>83742.68</v>
      </c>
      <c r="L6" s="8">
        <f>L8-L7</f>
        <v>86792.734</v>
      </c>
      <c r="M6" s="8">
        <f>I6+J6+K6+L6</f>
        <v>372966.084</v>
      </c>
      <c r="N6" s="8">
        <f>N8-N7</f>
        <v>125063.60240000003</v>
      </c>
      <c r="O6" s="8">
        <f>O8-O7</f>
        <v>88091.33600000001</v>
      </c>
      <c r="P6" s="8">
        <f>P8-P7</f>
        <v>88227.56040000002</v>
      </c>
      <c r="Q6" s="8">
        <f>Q8-Q7</f>
        <v>92654.23272</v>
      </c>
      <c r="R6" s="8">
        <f>N6+O6+P6+Q6</f>
        <v>394036.73152000003</v>
      </c>
    </row>
    <row r="7" spans="1:18" x14ac:dyDescent="0.25">
      <c r="A7" s="3" t="s">
        <v>22</v>
      </c>
      <c r="B7" s="7">
        <v>109158</v>
      </c>
      <c r="C7" s="7">
        <v>28750</v>
      </c>
      <c r="D7" s="7">
        <v>30013</v>
      </c>
      <c r="E7" s="7">
        <v>30976</v>
      </c>
      <c r="F7" s="7">
        <v>30739</v>
      </c>
      <c r="G7" s="8">
        <f>C7*(1+G43)</f>
        <v>32200.000000000004</v>
      </c>
      <c r="H7" s="8">
        <f>D7+E7+F7+G7</f>
        <v>123928</v>
      </c>
      <c r="I7" s="8">
        <f>D7*(1+I43)</f>
        <v>33914.689999999995</v>
      </c>
      <c r="J7" s="8">
        <f>E7*(1+J43)</f>
        <v>35002.88</v>
      </c>
      <c r="K7" s="8">
        <f>F7*(1+K43)</f>
        <v>34427.68</v>
      </c>
      <c r="L7" s="8">
        <f>G7*(1+L43)</f>
        <v>36064.00000000001</v>
      </c>
      <c r="M7" s="8">
        <f>I7+J7+K7+L7</f>
        <v>139409.25</v>
      </c>
      <c r="N7" s="8">
        <f>I7*(1+N43)</f>
        <v>37984.4528</v>
      </c>
      <c r="O7" s="8">
        <f>J7*(1+O43)</f>
        <v>39203.2256</v>
      </c>
      <c r="P7" s="8">
        <f>K7*(1+P43)</f>
        <v>38214.7248</v>
      </c>
      <c r="Q7" s="8">
        <f>L7*(1+Q43)</f>
        <v>40031.04000000001</v>
      </c>
      <c r="R7" s="8">
        <f>N7+O7+P7+Q7</f>
        <v>155433.4432</v>
      </c>
    </row>
    <row r="8" spans="1:18" x14ac:dyDescent="0.25">
      <c r="A8" s="3" t="s">
        <v>23</v>
      </c>
      <c r="B8" s="9">
        <f>B6+B7</f>
        <v>416161</v>
      </c>
      <c r="C8" s="9">
        <f>C6+C7</f>
        <v>102466</v>
      </c>
      <c r="D8" s="9">
        <f>D6+D7</f>
        <v>143756</v>
      </c>
      <c r="E8" s="9">
        <f>E6+E7</f>
        <v>111184</v>
      </c>
      <c r="F8" s="9">
        <f>F6+F7</f>
        <v>109417</v>
      </c>
      <c r="G8" s="9">
        <f>C8*(1+G42)</f>
        <v>112712.6</v>
      </c>
      <c r="H8" s="9">
        <f>D8+E8+F8+G8</f>
        <v>477069.6</v>
      </c>
      <c r="I8" s="9">
        <f>D8*(1+I42)</f>
        <v>152381.36000000002</v>
      </c>
      <c r="J8" s="9">
        <f>E8*(1+J42)</f>
        <v>118966.88</v>
      </c>
      <c r="K8" s="9">
        <f>F8*(1+K42)</f>
        <v>118170.36</v>
      </c>
      <c r="L8" s="9">
        <f>G8*(1+L42)</f>
        <v>122856.73400000001</v>
      </c>
      <c r="M8" s="9">
        <f>I8+J8+K8+L8</f>
        <v>512375.334</v>
      </c>
      <c r="N8" s="9">
        <f>I8*(1+N42)</f>
        <v>163048.05520000003</v>
      </c>
      <c r="O8" s="9">
        <f>J8*(1+O42)</f>
        <v>127294.56160000002</v>
      </c>
      <c r="P8" s="9">
        <f>K8*(1+P42)</f>
        <v>126442.28520000001</v>
      </c>
      <c r="Q8" s="9">
        <f>L8*(1+Q42)</f>
        <v>132685.27272</v>
      </c>
      <c r="R8" s="9">
        <f>N8+O8+P8+Q8</f>
        <v>549470.1747200001</v>
      </c>
    </row>
    <row r="9" spans="1:18" x14ac:dyDescent="0.25">
      <c r="A9" s="3" t="s">
        <v>24</v>
      </c>
      <c r="B9" s="10"/>
      <c r="C9" s="10"/>
      <c r="D9" s="10"/>
      <c r="E9" s="10"/>
      <c r="F9" s="10"/>
      <c r="G9" s="10">
        <f>G8/C8-1</f>
        <v>0.10000000000000009</v>
      </c>
      <c r="H9" s="10">
        <f>H8/B8-1</f>
        <v>0.14635826038480304</v>
      </c>
      <c r="I9" s="10">
        <f>I8/D8-1</f>
        <v>0.06000000000000005</v>
      </c>
      <c r="J9" s="10">
        <f>J8/E8-1</f>
        <v>0.07000000000000006</v>
      </c>
      <c r="K9" s="10">
        <f>K8/F8-1</f>
        <v>0.08000000000000007</v>
      </c>
      <c r="L9" s="10">
        <f>L8/G8-1</f>
        <v>0.09000000000000008</v>
      </c>
      <c r="M9" s="10">
        <f>M8/H8-1</f>
        <v>0.07400541556200602</v>
      </c>
      <c r="N9" s="10">
        <f>N8/I8-1</f>
        <v>0.07000000000000006</v>
      </c>
      <c r="O9" s="10">
        <f>O8/J8-1</f>
        <v>0.07000000000000006</v>
      </c>
      <c r="P9" s="10">
        <f>P8/K8-1</f>
        <v>0.07000000000000006</v>
      </c>
      <c r="Q9" s="10">
        <f>Q8/L8-1</f>
        <v>0.08000000000000007</v>
      </c>
      <c r="R9" s="10">
        <f>R8/M8-1</f>
        <v>0.0723977878294979</v>
      </c>
    </row>
    <row r="10" spans="1:18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5">
      <c r="A11" s="6" t="s">
        <v>25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25">
      <c r="A12" s="3" t="s">
        <v>21</v>
      </c>
      <c r="B12" s="7">
        <v>194116</v>
      </c>
      <c r="C12" s="7">
        <v>47019</v>
      </c>
      <c r="D12" s="7">
        <v>67478</v>
      </c>
      <c r="E12" s="7">
        <v>49179</v>
      </c>
      <c r="F12" s="7">
        <v>47153</v>
      </c>
      <c r="G12" s="8">
        <f>G6*(1-G18)</f>
        <v>51125.501000000004</v>
      </c>
      <c r="H12" s="8">
        <f>D12+E12+F12+G12</f>
        <v>214935.501</v>
      </c>
      <c r="I12" s="8">
        <f>I6*(1-I18)</f>
        <v>73449.33540000001</v>
      </c>
      <c r="J12" s="8">
        <f>J6*(1-J18)</f>
        <v>51218.04</v>
      </c>
      <c r="K12" s="8">
        <f>K6*(1-K18)</f>
        <v>50245.60799999999</v>
      </c>
      <c r="L12" s="8">
        <f>L6*(1-L18)</f>
        <v>51207.71306</v>
      </c>
      <c r="M12" s="8">
        <f>I12+J12+K12+L12</f>
        <v>226120.69646000004</v>
      </c>
      <c r="N12" s="8">
        <f>N6*(1-N18)</f>
        <v>73787.52541600003</v>
      </c>
      <c r="O12" s="8">
        <f>O6*(1-O18)</f>
        <v>51092.97488000001</v>
      </c>
      <c r="P12" s="8">
        <f>P6*(1-P18)</f>
        <v>51171.98503200002</v>
      </c>
      <c r="Q12" s="8">
        <f>Q6*(1-Q18)</f>
        <v>52812.91265040001</v>
      </c>
      <c r="R12" s="8">
        <f>N12+O12+P12+Q12</f>
        <v>228865.39797840008</v>
      </c>
    </row>
    <row r="13" spans="1:18" x14ac:dyDescent="0.25">
      <c r="A13" s="3" t="s">
        <v>22</v>
      </c>
      <c r="B13" s="7">
        <v>26844</v>
      </c>
      <c r="C13" s="7">
        <v>7106</v>
      </c>
      <c r="D13" s="7">
        <v>7047</v>
      </c>
      <c r="E13" s="7">
        <v>7224</v>
      </c>
      <c r="F13" s="7">
        <v>7494</v>
      </c>
      <c r="G13" s="8">
        <f>G7*(1-G19)</f>
        <v>8050.000000000001</v>
      </c>
      <c r="H13" s="8">
        <f>D13+E13+F13+G13</f>
        <v>29815</v>
      </c>
      <c r="I13" s="8">
        <f>I7*(1-I19)</f>
        <v>8478.672499999999</v>
      </c>
      <c r="J13" s="8">
        <f>J7*(1-J19)</f>
        <v>8750.72</v>
      </c>
      <c r="K13" s="8">
        <f>K7*(1-K19)</f>
        <v>8262.6432</v>
      </c>
      <c r="L13" s="8">
        <f>L7*(1-L19)</f>
        <v>8655.36</v>
      </c>
      <c r="M13" s="8">
        <f>I13+J13+K13+L13</f>
        <v>34147.3957</v>
      </c>
      <c r="N13" s="8">
        <f>N7*(1-N19)</f>
        <v>9116.268672</v>
      </c>
      <c r="O13" s="8">
        <f>O7*(1-O19)</f>
        <v>9408.774143999999</v>
      </c>
      <c r="P13" s="8">
        <f>P7*(1-P19)</f>
        <v>9171.533952</v>
      </c>
      <c r="Q13" s="8">
        <f>Q7*(1-Q19)</f>
        <v>9607.449600000002</v>
      </c>
      <c r="R13" s="8">
        <f>N13+O13+P13+Q13</f>
        <v>37304.026368</v>
      </c>
    </row>
    <row r="14" spans="1:18" x14ac:dyDescent="0.25">
      <c r="A14" s="3" t="s">
        <v>26</v>
      </c>
      <c r="B14" s="9">
        <f>B12+B13</f>
        <v>220960</v>
      </c>
      <c r="C14" s="9">
        <f>C12+C13</f>
        <v>54125</v>
      </c>
      <c r="D14" s="9">
        <f>D12+D13</f>
        <v>74525</v>
      </c>
      <c r="E14" s="9">
        <f>E12+E13</f>
        <v>56403</v>
      </c>
      <c r="F14" s="9">
        <f>F12+F13</f>
        <v>54647</v>
      </c>
      <c r="G14" s="9">
        <f>G12+G13</f>
        <v>59175.501000000004</v>
      </c>
      <c r="H14" s="9">
        <f>H12+H13</f>
        <v>244750.501</v>
      </c>
      <c r="I14" s="9">
        <f>I12+I13</f>
        <v>81928.00790000001</v>
      </c>
      <c r="J14" s="9">
        <f>J12+J13</f>
        <v>59968.76</v>
      </c>
      <c r="K14" s="9">
        <f>K12+K13</f>
        <v>58508.25119999999</v>
      </c>
      <c r="L14" s="9">
        <f>L12+L13</f>
        <v>59863.07306</v>
      </c>
      <c r="M14" s="9">
        <f>M12+M13</f>
        <v>260268.09216000003</v>
      </c>
      <c r="N14" s="9">
        <f>N12+N13</f>
        <v>82903.79408800004</v>
      </c>
      <c r="O14" s="9">
        <f>O12+O13</f>
        <v>60501.749024000004</v>
      </c>
      <c r="P14" s="9">
        <f>P12+P13</f>
        <v>60343.51898400002</v>
      </c>
      <c r="Q14" s="9">
        <f>Q12+Q13</f>
        <v>62420.36225040001</v>
      </c>
      <c r="R14" s="9">
        <f>R12+R13</f>
        <v>266169.4243464001</v>
      </c>
    </row>
    <row r="15" spans="1:18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5">
      <c r="A16" s="3" t="s">
        <v>27</v>
      </c>
      <c r="B16" s="9">
        <f>B8-B14</f>
        <v>195201</v>
      </c>
      <c r="C16" s="9">
        <f>C8-C14</f>
        <v>48341</v>
      </c>
      <c r="D16" s="9">
        <f>D8-D14</f>
        <v>69231</v>
      </c>
      <c r="E16" s="9">
        <f>E8-E14</f>
        <v>54781</v>
      </c>
      <c r="F16" s="9">
        <f>F8-F14</f>
        <v>54770</v>
      </c>
      <c r="G16" s="9">
        <f>G8-G14</f>
        <v>53537.099</v>
      </c>
      <c r="H16" s="9">
        <f>H8-H14</f>
        <v>232319.099</v>
      </c>
      <c r="I16" s="9">
        <f>I8-I14</f>
        <v>70453.3521</v>
      </c>
      <c r="J16" s="9">
        <f>J8-J14</f>
        <v>58998.12</v>
      </c>
      <c r="K16" s="9">
        <f>K8-K14</f>
        <v>59662.10880000001</v>
      </c>
      <c r="L16" s="9">
        <f>L8-L14</f>
        <v>62993.66094000001</v>
      </c>
      <c r="M16" s="9">
        <f>M8-M14</f>
        <v>252107.24183999994</v>
      </c>
      <c r="N16" s="9">
        <f>N8-N14</f>
        <v>80144.261112</v>
      </c>
      <c r="O16" s="9">
        <f>O8-O14</f>
        <v>66792.81257600001</v>
      </c>
      <c r="P16" s="9">
        <f>P8-P14</f>
        <v>66098.76621599999</v>
      </c>
      <c r="Q16" s="9">
        <f>Q8-Q14</f>
        <v>70264.9104696</v>
      </c>
      <c r="R16" s="9">
        <f>R8-R14</f>
        <v>283300.75037360005</v>
      </c>
    </row>
    <row r="17" spans="1:18" x14ac:dyDescent="0.25">
      <c r="A17" s="3" t="s">
        <v>28</v>
      </c>
      <c r="B17" s="10">
        <f>B16/B8</f>
        <v>0.4690516410716045</v>
      </c>
      <c r="C17" s="10">
        <f>C16/C8</f>
        <v>0.47177600374758455</v>
      </c>
      <c r="D17" s="10">
        <f>D16/D8</f>
        <v>0.4815868555051615</v>
      </c>
      <c r="E17" s="10">
        <f>E16/E8</f>
        <v>0.4927057850050367</v>
      </c>
      <c r="F17" s="10">
        <f>F16/F8</f>
        <v>0.500562069879452</v>
      </c>
      <c r="G17" s="10">
        <f>G16/G8</f>
        <v>0.47498770323814726</v>
      </c>
      <c r="H17" s="10">
        <f>H16/H8</f>
        <v>0.4869710813684209</v>
      </c>
      <c r="I17" s="10">
        <f>I16/I8</f>
        <v>0.46234888637297894</v>
      </c>
      <c r="J17" s="10">
        <f>J16/J8</f>
        <v>0.4959205452811741</v>
      </c>
      <c r="K17" s="10">
        <f>K16/K8</f>
        <v>0.5048821785767599</v>
      </c>
      <c r="L17" s="10">
        <f>L16/L8</f>
        <v>0.5127408070281276</v>
      </c>
      <c r="M17" s="10">
        <f>M16/M8</f>
        <v>0.4920362576235958</v>
      </c>
      <c r="N17" s="10">
        <f>N16/N8</f>
        <v>0.491537669760565</v>
      </c>
      <c r="O17" s="10">
        <f>O16/O8</f>
        <v>0.5247106532790008</v>
      </c>
      <c r="P17" s="10">
        <f>P16/P8</f>
        <v>0.52275839614452</v>
      </c>
      <c r="Q17" s="10">
        <f>Q16/Q8</f>
        <v>0.5295607344296379</v>
      </c>
      <c r="R17" s="10">
        <f>R16/R8</f>
        <v>0.5155889498787899</v>
      </c>
    </row>
    <row r="18" spans="1:18" x14ac:dyDescent="0.25">
      <c r="A18" s="3" t="s">
        <v>29</v>
      </c>
      <c r="B18" s="10">
        <f>(B6-B12)/B6</f>
        <v>0.3677065044966987</v>
      </c>
      <c r="C18" s="10">
        <f>(C6-C12)/C6</f>
        <v>0.36216018232134134</v>
      </c>
      <c r="D18" s="10">
        <f>(D6-D12)/D6</f>
        <v>0.4067503055133063</v>
      </c>
      <c r="E18" s="10">
        <f>(E6-E12)/E6</f>
        <v>0.3868566726511071</v>
      </c>
      <c r="F18" s="10">
        <f>(F6-F12)/F6</f>
        <v>0.40068379979155544</v>
      </c>
      <c r="G18" s="11">
        <v>0.365</v>
      </c>
      <c r="H18" s="10">
        <f>(H6-H12)/H6</f>
        <v>0.39136170589927666</v>
      </c>
      <c r="I18" s="11">
        <v>0.38</v>
      </c>
      <c r="J18" s="11">
        <v>0.39</v>
      </c>
      <c r="K18" s="11">
        <v>0.4</v>
      </c>
      <c r="L18" s="11">
        <v>0.41</v>
      </c>
      <c r="M18" s="10">
        <f>(M6-M12)/M6</f>
        <v>0.3937231663670522</v>
      </c>
      <c r="N18" s="11">
        <v>0.41</v>
      </c>
      <c r="O18" s="11">
        <v>0.42</v>
      </c>
      <c r="P18" s="11">
        <v>0.42</v>
      </c>
      <c r="Q18" s="11">
        <v>0.43</v>
      </c>
      <c r="R18" s="10">
        <f>(R6-R12)/R6</f>
        <v>0.4191775038445023</v>
      </c>
    </row>
    <row r="19" spans="1:18" x14ac:dyDescent="0.25">
      <c r="A19" s="3" t="s">
        <v>30</v>
      </c>
      <c r="B19" s="10">
        <f>(B7-B13)/B7</f>
        <v>0.754081240037377</v>
      </c>
      <c r="C19" s="10">
        <f>(C7-C13)/C7</f>
        <v>0.7528347826086956</v>
      </c>
      <c r="D19" s="10">
        <f>(D7-D13)/D7</f>
        <v>0.7652017459101056</v>
      </c>
      <c r="E19" s="10">
        <f>(E7-E13)/E7</f>
        <v>0.7667871900826446</v>
      </c>
      <c r="F19" s="10">
        <f>(F7-F13)/F7</f>
        <v>0.7562054718761183</v>
      </c>
      <c r="G19" s="11">
        <v>0.75</v>
      </c>
      <c r="H19" s="10">
        <f>(H7-H13)/H7</f>
        <v>0.7594167581176167</v>
      </c>
      <c r="I19" s="11">
        <v>0.75</v>
      </c>
      <c r="J19" s="11">
        <v>0.75</v>
      </c>
      <c r="K19" s="11">
        <v>0.76</v>
      </c>
      <c r="L19" s="11">
        <v>0.76</v>
      </c>
      <c r="M19" s="10">
        <f>(M7-M13)/M7</f>
        <v>0.7550564564403008</v>
      </c>
      <c r="N19" s="11">
        <v>0.76</v>
      </c>
      <c r="O19" s="11">
        <v>0.76</v>
      </c>
      <c r="P19" s="11">
        <v>0.76</v>
      </c>
      <c r="Q19" s="11">
        <v>0.76</v>
      </c>
      <c r="R19" s="10">
        <f>(R7-R13)/R7</f>
        <v>0.7600000000000001</v>
      </c>
    </row>
    <row r="20" spans="1:18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6" t="s">
        <v>31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25">
      <c r="A22" s="3" t="s">
        <v>32</v>
      </c>
      <c r="B22" s="7">
        <v>34550</v>
      </c>
      <c r="C22" s="7">
        <v>8866</v>
      </c>
      <c r="D22" s="7">
        <v>10887</v>
      </c>
      <c r="E22" s="7">
        <v>11419</v>
      </c>
      <c r="F22" s="7">
        <v>11729</v>
      </c>
      <c r="G22" s="8">
        <f>C22*(1+G44)</f>
        <v>11348.48</v>
      </c>
      <c r="H22" s="8">
        <f>D22+E22+F22+G22</f>
        <v>45383.479999999996</v>
      </c>
      <c r="I22" s="8">
        <f>D22*(1+I44)</f>
        <v>13064.4</v>
      </c>
      <c r="J22" s="8">
        <f>E22*(1+J44)</f>
        <v>13474.42</v>
      </c>
      <c r="K22" s="8">
        <f>F22*(1+K44)</f>
        <v>13488.349999999999</v>
      </c>
      <c r="L22" s="8">
        <f>G22*(1+L44)</f>
        <v>13050.751999999999</v>
      </c>
      <c r="M22" s="8">
        <f>I22+J22+K22+L22</f>
        <v>53077.922</v>
      </c>
      <c r="N22" s="8">
        <f>I22*(1+N44)</f>
        <v>14632.128</v>
      </c>
      <c r="O22" s="8">
        <f>J22*(1+O44)</f>
        <v>15091.350400000001</v>
      </c>
      <c r="P22" s="8">
        <f>K22*(1+P44)</f>
        <v>15106.952</v>
      </c>
      <c r="Q22" s="8">
        <f>L22*(1+Q44)</f>
        <v>14616.84224</v>
      </c>
      <c r="R22" s="8">
        <f>N22+O22+P22+Q22</f>
        <v>59447.272639999996</v>
      </c>
    </row>
    <row r="23" spans="1:18" x14ac:dyDescent="0.25">
      <c r="A23" s="3" t="s">
        <v>33</v>
      </c>
      <c r="B23" s="7">
        <v>27601</v>
      </c>
      <c r="C23" s="7">
        <v>7048</v>
      </c>
      <c r="D23" s="7">
        <v>7492</v>
      </c>
      <c r="E23" s="7">
        <v>7477</v>
      </c>
      <c r="F23" s="7">
        <v>7346</v>
      </c>
      <c r="G23" s="8">
        <f>C23*(1+G45)</f>
        <v>7752.8</v>
      </c>
      <c r="H23" s="8">
        <f>D23+E23+F23+G23</f>
        <v>30067.8</v>
      </c>
      <c r="I23" s="8">
        <f>D23*(1+I45)</f>
        <v>8166.280000000001</v>
      </c>
      <c r="J23" s="8">
        <f>E23*(1+J45)</f>
        <v>8075.160000000001</v>
      </c>
      <c r="K23" s="8">
        <f>F23*(1+K45)</f>
        <v>7933.68</v>
      </c>
      <c r="L23" s="8">
        <f>G23*(1+L45)</f>
        <v>8373.024000000001</v>
      </c>
      <c r="M23" s="8">
        <f>I23+J23+K23+L23</f>
        <v>32548.144000000004</v>
      </c>
      <c r="N23" s="8">
        <f>I23*(1+N45)</f>
        <v>8819.582400000001</v>
      </c>
      <c r="O23" s="8">
        <f>J23*(1+O45)</f>
        <v>8721.172800000002</v>
      </c>
      <c r="P23" s="8">
        <f>K23*(1+P45)</f>
        <v>8568.3744</v>
      </c>
      <c r="Q23" s="8">
        <f>L23*(1+Q45)</f>
        <v>9042.865920000002</v>
      </c>
      <c r="R23" s="8">
        <f>N23+O23+P23+Q23</f>
        <v>35151.995520000004</v>
      </c>
    </row>
    <row r="24" spans="1:18" x14ac:dyDescent="0.25">
      <c r="A24" s="3" t="s">
        <v>34</v>
      </c>
      <c r="B24" s="9">
        <f>B22+B23</f>
        <v>62151</v>
      </c>
      <c r="C24" s="9">
        <f>C22+C23</f>
        <v>15914</v>
      </c>
      <c r="D24" s="9">
        <f>D22+D23</f>
        <v>18379</v>
      </c>
      <c r="E24" s="9">
        <f>E22+E23</f>
        <v>18896</v>
      </c>
      <c r="F24" s="9">
        <f>F22+F23</f>
        <v>19075</v>
      </c>
      <c r="G24" s="9">
        <f>G22+G23</f>
        <v>19101.28</v>
      </c>
      <c r="H24" s="9">
        <f>H22+H23</f>
        <v>75451.28</v>
      </c>
      <c r="I24" s="9">
        <f>I22+I23</f>
        <v>21230.68</v>
      </c>
      <c r="J24" s="9">
        <f>J22+J23</f>
        <v>21549.58</v>
      </c>
      <c r="K24" s="9">
        <f>K22+K23</f>
        <v>21422.03</v>
      </c>
      <c r="L24" s="9">
        <f>L22+L23</f>
        <v>21423.775999999998</v>
      </c>
      <c r="M24" s="9">
        <f>M22+M23</f>
        <v>85626.066</v>
      </c>
      <c r="N24" s="9">
        <f>N22+N23</f>
        <v>23451.710400000004</v>
      </c>
      <c r="O24" s="9">
        <f>O22+O23</f>
        <v>23812.523200000003</v>
      </c>
      <c r="P24" s="9">
        <f>P22+P23</f>
        <v>23675.326399999998</v>
      </c>
      <c r="Q24" s="9">
        <f>Q22+Q23</f>
        <v>23659.708160000002</v>
      </c>
      <c r="R24" s="9">
        <f>R22+R23</f>
        <v>94599.26816</v>
      </c>
    </row>
    <row r="25" spans="1:18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3" t="s">
        <v>35</v>
      </c>
      <c r="B26" s="9">
        <f>B16-B24</f>
        <v>133050</v>
      </c>
      <c r="C26" s="9">
        <f>C16-C24</f>
        <v>32427</v>
      </c>
      <c r="D26" s="9">
        <f>D16-D24</f>
        <v>50852</v>
      </c>
      <c r="E26" s="9">
        <f>E16-E24</f>
        <v>35885</v>
      </c>
      <c r="F26" s="9">
        <f>F16-F24</f>
        <v>35695</v>
      </c>
      <c r="G26" s="9">
        <f>G16-G24</f>
        <v>34435.819</v>
      </c>
      <c r="H26" s="9">
        <f>H16-H24</f>
        <v>156867.819</v>
      </c>
      <c r="I26" s="9">
        <f>I16-I24</f>
        <v>49222.6721</v>
      </c>
      <c r="J26" s="9">
        <f>J16-J24</f>
        <v>37448.54</v>
      </c>
      <c r="K26" s="9">
        <f>K16-K24</f>
        <v>38240.07880000001</v>
      </c>
      <c r="L26" s="9">
        <f>L16-L24</f>
        <v>41569.88494000001</v>
      </c>
      <c r="M26" s="9">
        <f>M16-M24</f>
        <v>166481.17583999992</v>
      </c>
      <c r="N26" s="9">
        <f>N16-N24</f>
        <v>56692.55071199999</v>
      </c>
      <c r="O26" s="9">
        <f>O16-O24</f>
        <v>42980.28937600001</v>
      </c>
      <c r="P26" s="9">
        <f>P16-P24</f>
        <v>42423.43981599999</v>
      </c>
      <c r="Q26" s="9">
        <f>Q16-Q24</f>
        <v>46605.2023096</v>
      </c>
      <c r="R26" s="9">
        <f>R16-R24</f>
        <v>188701.48221360004</v>
      </c>
    </row>
    <row r="27" spans="1:18" x14ac:dyDescent="0.25">
      <c r="A27" s="3" t="s">
        <v>36</v>
      </c>
      <c r="B27" s="10">
        <f>B26/B8</f>
        <v>0.31970799762591884</v>
      </c>
      <c r="C27" s="10">
        <f>C26/C8</f>
        <v>0.3164659496808698</v>
      </c>
      <c r="D27" s="10">
        <f>D26/D8</f>
        <v>0.35373827875010433</v>
      </c>
      <c r="E27" s="10">
        <f>E26/E8</f>
        <v>0.32275327385235286</v>
      </c>
      <c r="F27" s="10">
        <f>F26/F8</f>
        <v>0.3262290137729969</v>
      </c>
      <c r="G27" s="10">
        <f>G26/G8</f>
        <v>0.3055188062381668</v>
      </c>
      <c r="H27" s="10">
        <f>H26/H8</f>
        <v>0.328815374108935</v>
      </c>
      <c r="I27" s="10">
        <f>I26/I8</f>
        <v>0.3230229215699348</v>
      </c>
      <c r="J27" s="10">
        <f>J26/J8</f>
        <v>0.31478122314378587</v>
      </c>
      <c r="K27" s="10">
        <f>K26/K8</f>
        <v>0.32360127192639515</v>
      </c>
      <c r="L27" s="10">
        <f>L26/L8</f>
        <v>0.3383606546141786</v>
      </c>
      <c r="M27" s="10">
        <f>M26/M8</f>
        <v>0.32492035582649637</v>
      </c>
      <c r="N27" s="10">
        <f>N26/N8</f>
        <v>0.3477045503085521</v>
      </c>
      <c r="O27" s="10">
        <f>O26/O8</f>
        <v>0.33764434894758305</v>
      </c>
      <c r="P27" s="10">
        <f>P26/P8</f>
        <v>0.33551623769608985</v>
      </c>
      <c r="Q27" s="10">
        <f>Q26/Q8</f>
        <v>0.35124623369429203</v>
      </c>
      <c r="R27" s="10">
        <f>R26/R8</f>
        <v>0.34342443119821536</v>
      </c>
    </row>
    <row r="28" spans="1:18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25">
      <c r="A29" s="3" t="s">
        <v>37</v>
      </c>
      <c r="B29" s="7">
        <v>-321</v>
      </c>
      <c r="C29" s="7">
        <v>377</v>
      </c>
      <c r="D29" s="7">
        <v>150</v>
      </c>
      <c r="E29" s="7">
        <v>-52</v>
      </c>
      <c r="F29" s="7">
        <v>572</v>
      </c>
      <c r="G29" s="7">
        <v>200</v>
      </c>
      <c r="H29" s="8">
        <f>D29+E29+F29+G29</f>
        <v>870</v>
      </c>
      <c r="I29" s="7">
        <v>250</v>
      </c>
      <c r="J29" s="7">
        <v>200</v>
      </c>
      <c r="K29" s="7">
        <v>200</v>
      </c>
      <c r="L29" s="7">
        <v>200</v>
      </c>
      <c r="M29" s="8">
        <f>I29+J29+K29+L29</f>
        <v>850</v>
      </c>
      <c r="N29" s="7">
        <v>250</v>
      </c>
      <c r="O29" s="7">
        <v>200</v>
      </c>
      <c r="P29" s="7">
        <v>200</v>
      </c>
      <c r="Q29" s="7">
        <v>200</v>
      </c>
      <c r="R29" s="8">
        <f>N29+O29+P29+Q29</f>
        <v>850</v>
      </c>
    </row>
    <row r="30" spans="1:18" x14ac:dyDescent="0.25">
      <c r="A30" s="3" t="s">
        <v>38</v>
      </c>
      <c r="B30" s="9">
        <f>B26+B29</f>
        <v>132729</v>
      </c>
      <c r="C30" s="9">
        <f>C26+C29</f>
        <v>32804</v>
      </c>
      <c r="D30" s="9">
        <f>D26+D29</f>
        <v>51002</v>
      </c>
      <c r="E30" s="9">
        <f>E26+E29</f>
        <v>35833</v>
      </c>
      <c r="F30" s="9">
        <f>F26+F29</f>
        <v>36267</v>
      </c>
      <c r="G30" s="9">
        <f>G26+G29</f>
        <v>34635.819</v>
      </c>
      <c r="H30" s="9">
        <f>H26+H29</f>
        <v>157737.819</v>
      </c>
      <c r="I30" s="9">
        <f>I26+I29</f>
        <v>49472.6721</v>
      </c>
      <c r="J30" s="9">
        <f>J26+J29</f>
        <v>37648.54</v>
      </c>
      <c r="K30" s="9">
        <f>K26+K29</f>
        <v>38440.07880000001</v>
      </c>
      <c r="L30" s="9">
        <f>L26+L29</f>
        <v>41769.88494000001</v>
      </c>
      <c r="M30" s="9">
        <f>M26+M29</f>
        <v>167331.17583999992</v>
      </c>
      <c r="N30" s="9">
        <f>N26+N29</f>
        <v>56942.55071199999</v>
      </c>
      <c r="O30" s="9">
        <f>O26+O29</f>
        <v>43180.28937600001</v>
      </c>
      <c r="P30" s="9">
        <f>P26+P29</f>
        <v>42623.43981599999</v>
      </c>
      <c r="Q30" s="9">
        <f>Q26+Q29</f>
        <v>46805.2023096</v>
      </c>
      <c r="R30" s="9">
        <f>R26+R29</f>
        <v>189551.48221360004</v>
      </c>
    </row>
    <row r="31" spans="1:18" x14ac:dyDescent="0.25">
      <c r="A31" s="3" t="s">
        <v>39</v>
      </c>
      <c r="B31" s="7">
        <v>20719</v>
      </c>
      <c r="C31" s="7">
        <v>5338</v>
      </c>
      <c r="D31" s="7">
        <v>8905</v>
      </c>
      <c r="E31" s="7">
        <v>6255</v>
      </c>
      <c r="F31" s="7">
        <v>6478</v>
      </c>
      <c r="G31" s="8">
        <f>G30*G32</f>
        <v>6061.268325</v>
      </c>
      <c r="H31" s="8">
        <f>D31+E31+F31+G31</f>
        <v>27699.268325</v>
      </c>
      <c r="I31" s="8">
        <f>I30*I32</f>
        <v>8162.990896500001</v>
      </c>
      <c r="J31" s="8">
        <f>J30*J32</f>
        <v>6212.0091</v>
      </c>
      <c r="K31" s="8">
        <f>K30*K32</f>
        <v>6534.813396000002</v>
      </c>
      <c r="L31" s="8">
        <f>L30*L32</f>
        <v>7100.880439800002</v>
      </c>
      <c r="M31" s="8">
        <f>I31+J31+K31+L31</f>
        <v>28010.693832300007</v>
      </c>
      <c r="N31" s="8">
        <f>N30*N32</f>
        <v>9395.520867479998</v>
      </c>
      <c r="O31" s="8">
        <f>O30*O32</f>
        <v>7124.747747040002</v>
      </c>
      <c r="P31" s="8">
        <f>P30*P32</f>
        <v>7245.984768719999</v>
      </c>
      <c r="Q31" s="8">
        <f>Q30*Q32</f>
        <v>7956.8843926320005</v>
      </c>
      <c r="R31" s="8">
        <f>N31+O31+P31+Q31</f>
        <v>31723.137775871997</v>
      </c>
    </row>
    <row r="32" spans="1:18" x14ac:dyDescent="0.25">
      <c r="A32" s="3" t="s">
        <v>40</v>
      </c>
      <c r="B32" s="10">
        <f>B31/B30</f>
        <v>0.15610002335586043</v>
      </c>
      <c r="C32" s="10">
        <f>C31/C30</f>
        <v>0.16272405804170223</v>
      </c>
      <c r="D32" s="10">
        <f>D31/D30</f>
        <v>0.17460099603937101</v>
      </c>
      <c r="E32" s="10">
        <f>E31/E30</f>
        <v>0.17455976334663578</v>
      </c>
      <c r="F32" s="10">
        <f>F31/F30</f>
        <v>0.1786196818043952</v>
      </c>
      <c r="G32" s="11">
        <v>0.175</v>
      </c>
      <c r="H32" s="10">
        <f>H31/H30</f>
        <v>0.17560321615071908</v>
      </c>
      <c r="I32" s="11">
        <v>0.165</v>
      </c>
      <c r="J32" s="11">
        <v>0.165</v>
      </c>
      <c r="K32" s="11">
        <v>0.17</v>
      </c>
      <c r="L32" s="11">
        <v>0.17</v>
      </c>
      <c r="M32" s="10">
        <f>M31/M30</f>
        <v>0.16739674296607762</v>
      </c>
      <c r="N32" s="11">
        <v>0.165</v>
      </c>
      <c r="O32" s="11">
        <v>0.165</v>
      </c>
      <c r="P32" s="11">
        <v>0.17</v>
      </c>
      <c r="Q32" s="11">
        <v>0.17</v>
      </c>
      <c r="R32" s="10">
        <f>R31/R30</f>
        <v>0.16735895391271124</v>
      </c>
    </row>
    <row r="33" spans="1:18" x14ac:dyDescent="0.25">
      <c r="A33" s="3" t="s">
        <v>41</v>
      </c>
      <c r="B33" s="9">
        <f>B30-B31</f>
        <v>112010</v>
      </c>
      <c r="C33" s="9">
        <f>C30-C31</f>
        <v>27466</v>
      </c>
      <c r="D33" s="9">
        <f>D30-D31</f>
        <v>42097</v>
      </c>
      <c r="E33" s="9">
        <f>E30-E31</f>
        <v>29578</v>
      </c>
      <c r="F33" s="9">
        <f>F30-F31</f>
        <v>29789</v>
      </c>
      <c r="G33" s="9">
        <f>G30-G31</f>
        <v>28574.550675000002</v>
      </c>
      <c r="H33" s="9">
        <f>H30-H31</f>
        <v>130038.55067499999</v>
      </c>
      <c r="I33" s="9">
        <f>I30-I31</f>
        <v>41309.681203500004</v>
      </c>
      <c r="J33" s="9">
        <f>J30-J31</f>
        <v>31436.5309</v>
      </c>
      <c r="K33" s="9">
        <f>K30-K31</f>
        <v>31905.26540400001</v>
      </c>
      <c r="L33" s="9">
        <f>L30-L31</f>
        <v>34669.00450020001</v>
      </c>
      <c r="M33" s="9">
        <f>M30-M31</f>
        <v>139320.4820076999</v>
      </c>
      <c r="N33" s="9">
        <f>N30-N31</f>
        <v>47547.02984451999</v>
      </c>
      <c r="O33" s="9">
        <f>O30-O31</f>
        <v>36055.54162896</v>
      </c>
      <c r="P33" s="9">
        <f>P30-P31</f>
        <v>35377.45504727999</v>
      </c>
      <c r="Q33" s="9">
        <f>Q30-Q31</f>
        <v>38848.31791696799</v>
      </c>
      <c r="R33" s="9">
        <f>R30-R31</f>
        <v>157828.34443772805</v>
      </c>
    </row>
    <row r="34" spans="1:18" x14ac:dyDescent="0.25">
      <c r="A34" s="3" t="s">
        <v>42</v>
      </c>
      <c r="B34" s="10">
        <f>B33/B8</f>
        <v>0.2691506412181824</v>
      </c>
      <c r="C34" s="10">
        <f>C33/C8</f>
        <v>0.2680498897195167</v>
      </c>
      <c r="D34" s="10">
        <f>D33/D8</f>
        <v>0.292836472912435</v>
      </c>
      <c r="E34" s="10">
        <f>E33/E8</f>
        <v>0.2660274859692042</v>
      </c>
      <c r="F34" s="10">
        <f>F33/F8</f>
        <v>0.2722520266503377</v>
      </c>
      <c r="G34" s="10">
        <f>G33/G8</f>
        <v>0.25351691536704857</v>
      </c>
      <c r="H34" s="10">
        <f>H33/H8</f>
        <v>0.2725777343075308</v>
      </c>
      <c r="I34" s="10">
        <f>I33/I8</f>
        <v>0.27109405772136436</v>
      </c>
      <c r="J34" s="10">
        <f>J33/J8</f>
        <v>0.264246073360922</v>
      </c>
      <c r="K34" s="10">
        <f>K33/K8</f>
        <v>0.269993807279592</v>
      </c>
      <c r="L34" s="10">
        <f>L33/L8</f>
        <v>0.28219051061702494</v>
      </c>
      <c r="M34" s="10">
        <f>M33/M8</f>
        <v>0.2719109854880327</v>
      </c>
      <c r="N34" s="10">
        <f>N33/N8</f>
        <v>0.29161359690060246</v>
      </c>
      <c r="O34" s="10">
        <f>O33/O8</f>
        <v>0.28324494916175585</v>
      </c>
      <c r="P34" s="10">
        <f>P33/P8</f>
        <v>0.2797913292323191</v>
      </c>
      <c r="Q34" s="10">
        <f>Q33/Q8</f>
        <v>0.2927854547877964</v>
      </c>
      <c r="R34" s="10">
        <f>R33/R8</f>
        <v>0.28723732733656465</v>
      </c>
    </row>
    <row r="35" spans="1:18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3" t="s">
        <v>43</v>
      </c>
      <c r="B36" s="12">
        <v>15014745</v>
      </c>
      <c r="C36" s="12">
        <v>14846486</v>
      </c>
      <c r="D36" s="12">
        <v>14810356</v>
      </c>
      <c r="E36" s="12">
        <v>14715423</v>
      </c>
      <c r="F36" s="12">
        <v>14714676</v>
      </c>
      <c r="G36" s="13">
        <f>F36*(1+G46)</f>
        <v>14641102.62</v>
      </c>
      <c r="H36" s="13">
        <f>AVERAGE(D36,E36,F36,G36)</f>
        <v>14720389.405</v>
      </c>
      <c r="I36" s="13">
        <f>G36*(1+I46)</f>
        <v>14553256.004279999</v>
      </c>
      <c r="J36" s="13">
        <f>I36*(1+J46)</f>
        <v>14465936.468254318</v>
      </c>
      <c r="K36" s="13">
        <f>J36*(1+K46)</f>
        <v>14379140.849444792</v>
      </c>
      <c r="L36" s="13">
        <f>K36*(1+L46)</f>
        <v>14292866.004348123</v>
      </c>
      <c r="M36" s="13">
        <f>AVERAGE(I36,J36,K36,L36)</f>
        <v>14422799.831581807</v>
      </c>
      <c r="N36" s="13">
        <f>L36*(1+N46)</f>
        <v>14207108.808322035</v>
      </c>
      <c r="O36" s="13">
        <f>N36*(1+O46)</f>
        <v>14121866.155472102</v>
      </c>
      <c r="P36" s="13">
        <f>O36*(1+P46)</f>
        <v>14037134.95853927</v>
      </c>
      <c r="Q36" s="13">
        <f>P36*(1+Q46)</f>
        <v>13952912.148788035</v>
      </c>
      <c r="R36" s="13">
        <f>AVERAGE(N36,O36,P36,Q36)</f>
        <v>14079755.51778036</v>
      </c>
    </row>
    <row r="37" spans="1:18" x14ac:dyDescent="0.25">
      <c r="A37" s="3" t="s">
        <v>44</v>
      </c>
      <c r="B37" s="14">
        <f>B33*1000/B36</f>
        <v>7.4600001531827544</v>
      </c>
      <c r="C37" s="14">
        <f>C33*1000/C36</f>
        <v>1.8500000606204055</v>
      </c>
      <c r="D37" s="14">
        <f>D33*1000/D36</f>
        <v>2.842402978024296</v>
      </c>
      <c r="E37" s="14">
        <f>E33*1000/E36</f>
        <v>2.00999998437014</v>
      </c>
      <c r="F37" s="14">
        <f>F33*1000/F36</f>
        <v>2.0244414487957467</v>
      </c>
      <c r="G37" s="14">
        <f>G33*1000/G36</f>
        <v>1.9516665798084545</v>
      </c>
      <c r="H37" s="14">
        <f>H33*1000/H36</f>
        <v>8.833906977408523</v>
      </c>
      <c r="I37" s="14">
        <f>I33*1000/I36</f>
        <v>2.8385181426995545</v>
      </c>
      <c r="J37" s="14">
        <f>J33*1000/J36</f>
        <v>2.1731417782034277</v>
      </c>
      <c r="K37" s="14">
        <f>K33*1000/K36</f>
        <v>2.2188575616624506</v>
      </c>
      <c r="L37" s="14">
        <f>L33*1000/L36</f>
        <v>2.4256160023926014</v>
      </c>
      <c r="M37" s="14">
        <f>M33*1000/M36</f>
        <v>9.659738998986029</v>
      </c>
      <c r="N37" s="14">
        <f>N33*1000/N36</f>
        <v>3.346706953962975</v>
      </c>
      <c r="O37" s="14">
        <f>O33*1000/O36</f>
        <v>2.5531711766712073</v>
      </c>
      <c r="P37" s="14">
        <f>P33*1000/P36</f>
        <v>2.520276050046714</v>
      </c>
      <c r="Q37" s="14">
        <f>Q33*1000/Q36</f>
        <v>2.784244428883787</v>
      </c>
      <c r="R37" s="14">
        <f>R33*1000/R36</f>
        <v>11.209594103989762</v>
      </c>
    </row>
    <row r="38" spans="1:1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15" t="s">
        <v>45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ht="15.003750937734434" customHeight="1" spans="1:18" x14ac:dyDescent="0.25">
      <c r="A41" s="4" t="s">
        <v>2</v>
      </c>
      <c r="B41" s="4" t="s">
        <v>3</v>
      </c>
      <c r="C41" s="4" t="s">
        <v>4</v>
      </c>
      <c r="D41" s="4" t="s">
        <v>5</v>
      </c>
      <c r="E41" s="4" t="s">
        <v>6</v>
      </c>
      <c r="F41" s="4" t="s">
        <v>7</v>
      </c>
      <c r="G41" s="4" t="s">
        <v>8</v>
      </c>
      <c r="H41" s="4" t="s">
        <v>9</v>
      </c>
      <c r="I41" s="4" t="s">
        <v>10</v>
      </c>
      <c r="J41" s="4" t="s">
        <v>11</v>
      </c>
      <c r="K41" s="4" t="s">
        <v>12</v>
      </c>
      <c r="L41" s="4" t="s">
        <v>13</v>
      </c>
      <c r="M41" s="4" t="s">
        <v>14</v>
      </c>
      <c r="N41" s="4" t="s">
        <v>15</v>
      </c>
      <c r="O41" s="4" t="s">
        <v>16</v>
      </c>
      <c r="P41" s="4" t="s">
        <v>17</v>
      </c>
      <c r="Q41" s="4" t="s">
        <v>18</v>
      </c>
      <c r="R41" s="4" t="s">
        <v>19</v>
      </c>
    </row>
    <row r="42" spans="1:18" x14ac:dyDescent="0.25">
      <c r="A42" s="3" t="s">
        <v>46</v>
      </c>
      <c r="B42" s="10"/>
      <c r="C42" s="10"/>
      <c r="D42" s="10"/>
      <c r="E42" s="10"/>
      <c r="F42" s="10"/>
      <c r="G42" s="11">
        <v>0.1</v>
      </c>
      <c r="H42" s="10"/>
      <c r="I42" s="11">
        <v>0.06</v>
      </c>
      <c r="J42" s="11">
        <v>0.07</v>
      </c>
      <c r="K42" s="11">
        <v>0.08</v>
      </c>
      <c r="L42" s="11">
        <v>0.09</v>
      </c>
      <c r="M42" s="10"/>
      <c r="N42" s="11">
        <v>0.07</v>
      </c>
      <c r="O42" s="11">
        <v>0.07</v>
      </c>
      <c r="P42" s="11">
        <v>0.07</v>
      </c>
      <c r="Q42" s="11">
        <v>0.08</v>
      </c>
      <c r="R42" s="10"/>
    </row>
    <row r="43" spans="1:18" x14ac:dyDescent="0.25">
      <c r="A43" s="3" t="s">
        <v>47</v>
      </c>
      <c r="B43" s="10"/>
      <c r="C43" s="10"/>
      <c r="D43" s="10"/>
      <c r="E43" s="10"/>
      <c r="F43" s="10"/>
      <c r="G43" s="11">
        <v>0.12</v>
      </c>
      <c r="H43" s="10"/>
      <c r="I43" s="11">
        <v>0.13</v>
      </c>
      <c r="J43" s="11">
        <v>0.13</v>
      </c>
      <c r="K43" s="11">
        <v>0.12</v>
      </c>
      <c r="L43" s="11">
        <v>0.12</v>
      </c>
      <c r="M43" s="10"/>
      <c r="N43" s="11">
        <v>0.12</v>
      </c>
      <c r="O43" s="11">
        <v>0.12</v>
      </c>
      <c r="P43" s="11">
        <v>0.11</v>
      </c>
      <c r="Q43" s="11">
        <v>0.11</v>
      </c>
      <c r="R43" s="10"/>
    </row>
    <row r="44" spans="1:18" x14ac:dyDescent="0.25">
      <c r="A44" s="3" t="s">
        <v>48</v>
      </c>
      <c r="B44" s="10"/>
      <c r="C44" s="10"/>
      <c r="D44" s="10"/>
      <c r="E44" s="10"/>
      <c r="F44" s="10"/>
      <c r="G44" s="11">
        <v>0.28</v>
      </c>
      <c r="H44" s="10"/>
      <c r="I44" s="11">
        <v>0.2</v>
      </c>
      <c r="J44" s="11">
        <v>0.18</v>
      </c>
      <c r="K44" s="11">
        <v>0.15</v>
      </c>
      <c r="L44" s="11">
        <v>0.15</v>
      </c>
      <c r="M44" s="10"/>
      <c r="N44" s="11">
        <v>0.12</v>
      </c>
      <c r="O44" s="11">
        <v>0.12</v>
      </c>
      <c r="P44" s="11">
        <v>0.12</v>
      </c>
      <c r="Q44" s="11">
        <v>0.12</v>
      </c>
      <c r="R44" s="10"/>
    </row>
    <row r="45" spans="1:18" x14ac:dyDescent="0.25">
      <c r="A45" s="3" t="s">
        <v>49</v>
      </c>
      <c r="B45" s="10"/>
      <c r="C45" s="10"/>
      <c r="D45" s="10"/>
      <c r="E45" s="10"/>
      <c r="F45" s="10"/>
      <c r="G45" s="11">
        <v>0.1</v>
      </c>
      <c r="H45" s="10"/>
      <c r="I45" s="11">
        <v>0.09</v>
      </c>
      <c r="J45" s="11">
        <v>0.08</v>
      </c>
      <c r="K45" s="11">
        <v>0.08</v>
      </c>
      <c r="L45" s="11">
        <v>0.08</v>
      </c>
      <c r="M45" s="10"/>
      <c r="N45" s="11">
        <v>0.08</v>
      </c>
      <c r="O45" s="11">
        <v>0.08</v>
      </c>
      <c r="P45" s="11">
        <v>0.08</v>
      </c>
      <c r="Q45" s="11">
        <v>0.08</v>
      </c>
      <c r="R45" s="10"/>
    </row>
    <row r="46" spans="1:18" x14ac:dyDescent="0.25">
      <c r="A46" s="3" t="s">
        <v>50</v>
      </c>
      <c r="B46" s="10"/>
      <c r="C46" s="10"/>
      <c r="D46" s="10"/>
      <c r="E46" s="10"/>
      <c r="F46" s="10"/>
      <c r="G46" s="11">
        <v>-0.005</v>
      </c>
      <c r="H46" s="10"/>
      <c r="I46" s="11">
        <v>-0.006</v>
      </c>
      <c r="J46" s="11">
        <v>-0.006</v>
      </c>
      <c r="K46" s="11">
        <v>-0.006</v>
      </c>
      <c r="L46" s="11">
        <v>-0.006</v>
      </c>
      <c r="M46" s="10"/>
      <c r="N46" s="11">
        <v>-0.006</v>
      </c>
      <c r="O46" s="11">
        <v>-0.006</v>
      </c>
      <c r="P46" s="11">
        <v>-0.006</v>
      </c>
      <c r="Q46" s="11">
        <v>-0.006</v>
      </c>
      <c r="R46" s="10"/>
    </row>
  </sheetData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2026-08-18T00:23:51Z</dcterms:created>
  <dcterms:modified xsi:type="dcterms:W3CDTF">2026-08-18T00:23:51Z</dcterms:modified>
</cp:coreProperties>
</file>