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Income Statement" sheetId="2" state="visible" r:id="rId4"/>
    <sheet name="Notes &amp; 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<sst xmlns="http://schemas.openxmlformats.org/spreadsheetml/2006/main" count="112" uniqueCount="98">
  <si>
    <t xml:space="preserve">Apple Inc. (AAPL) — Forecast Assumptions</t>
  </si>
  <si>
    <t xml:space="preserve">Drives Income Statement forecast columns Q4 FY2026E through Q4 FY2028E. Revenue growth rates are year-over-year vs. the same fiscal quarter one year prior.</t>
  </si>
  <si>
    <t xml:space="preserve">Historical actuals (FY2024A, FY2025A, and Q1-Q3 FY2026A) are hardcoded on the Income Statement tab from Apple's SEC filings/press releases and are NOT driven by these assumptions.</t>
  </si>
  <si>
    <t xml:space="preserve">Assumption</t>
  </si>
  <si>
    <t xml:space="preserve">Q4 FY26E</t>
  </si>
  <si>
    <t xml:space="preserve">Q1 FY27E</t>
  </si>
  <si>
    <t xml:space="preserve">Q2 FY27E</t>
  </si>
  <si>
    <t xml:space="preserve">Q3 FY27E</t>
  </si>
  <si>
    <t xml:space="preserve">Q4 FY27E</t>
  </si>
  <si>
    <t xml:space="preserve">Q1 FY28E</t>
  </si>
  <si>
    <t xml:space="preserve">Q2 FY28E</t>
  </si>
  <si>
    <t xml:space="preserve">Q3 FY28E</t>
  </si>
  <si>
    <t xml:space="preserve">Q4 FY28E</t>
  </si>
  <si>
    <t xml:space="preserve">Revenue Growth — Year-over-Year (%)</t>
  </si>
  <si>
    <t xml:space="preserve">iPhone</t>
  </si>
  <si>
    <t xml:space="preserve">Mac</t>
  </si>
  <si>
    <t xml:space="preserve">iPad</t>
  </si>
  <si>
    <t xml:space="preserve">Wearables, Home and Accessories</t>
  </si>
  <si>
    <t xml:space="preserve">Services</t>
  </si>
  <si>
    <t xml:space="preserve">Gross Margin Assumptions (%)</t>
  </si>
  <si>
    <t xml:space="preserve">Products Gross Margin %</t>
  </si>
  <si>
    <t xml:space="preserve">Services Gross Margin %</t>
  </si>
  <si>
    <t xml:space="preserve">Operating Expenses — Year-over-Year Growth (%)</t>
  </si>
  <si>
    <t xml:space="preserve">Research &amp; Development — YoY growth %</t>
  </si>
  <si>
    <t xml:space="preserve">Selling, General &amp; Administrative — YoY growth %</t>
  </si>
  <si>
    <t xml:space="preserve">Other Assumptions</t>
  </si>
  <si>
    <t xml:space="preserve">Other Income/(Expense), net ($M per quarter)</t>
  </si>
  <si>
    <t xml:space="preserve">Effective Tax Rate %</t>
  </si>
  <si>
    <t xml:space="preserve">Diluted Shares — Sequential QoQ Change %</t>
  </si>
  <si>
    <t xml:space="preserve">Basic / Diluted Share Ratio</t>
  </si>
  <si>
    <t xml:space="preserve">Apple Inc. (AAPL) — Income Statement: Actual Results &amp; Forecast (FY2026E–FY2028E)</t>
  </si>
  <si>
    <t xml:space="preserve">$ in millions, except per-share amounts and shares (in thousands). Apple's fiscal year ends the last Saturday of September.</t>
  </si>
  <si>
    <t xml:space="preserve">Blue = hardcoded actual (SEC filings / Apple press releases).  Black = same-sheet formula.  Green = formula linked to the Assumptions tab.</t>
  </si>
  <si>
    <t xml:space="preserve">FY2024</t>
  </si>
  <si>
    <t xml:space="preserve">FY2025</t>
  </si>
  <si>
    <t xml:space="preserve">FY2026</t>
  </si>
  <si>
    <t xml:space="preserve">FY2027</t>
  </si>
  <si>
    <t xml:space="preserve">FY2028</t>
  </si>
  <si>
    <t xml:space="preserve">FY2024A</t>
  </si>
  <si>
    <t xml:space="preserve">Q1 FY25A</t>
  </si>
  <si>
    <t xml:space="preserve">Q2 FY25A</t>
  </si>
  <si>
    <t xml:space="preserve">Q3 FY25A</t>
  </si>
  <si>
    <t xml:space="preserve">Q4 FY25A</t>
  </si>
  <si>
    <t xml:space="preserve">FY2025A</t>
  </si>
  <si>
    <t xml:space="preserve">Q1 FY26A</t>
  </si>
  <si>
    <t xml:space="preserve">Q2 FY26A</t>
  </si>
  <si>
    <t xml:space="preserve">Q3 FY26A</t>
  </si>
  <si>
    <t xml:space="preserve">FY2026E</t>
  </si>
  <si>
    <t xml:space="preserve">FY2027E</t>
  </si>
  <si>
    <t xml:space="preserve">FY2028E</t>
  </si>
  <si>
    <t xml:space="preserve">Net Sales by Category</t>
  </si>
  <si>
    <t xml:space="preserve">Total Products</t>
  </si>
  <si>
    <t xml:space="preserve">Total Net Sales</t>
  </si>
  <si>
    <t xml:space="preserve">  YoY Growth %</t>
  </si>
  <si>
    <t xml:space="preserve">Cost of Sales</t>
  </si>
  <si>
    <t xml:space="preserve">Products Cost of Sales</t>
  </si>
  <si>
    <t xml:space="preserve">Services Cost of Sales</t>
  </si>
  <si>
    <t xml:space="preserve">Total Cost of Sales</t>
  </si>
  <si>
    <t xml:space="preserve">Gross Margin ($)</t>
  </si>
  <si>
    <t xml:space="preserve">  Products Gross Margin %</t>
  </si>
  <si>
    <t xml:space="preserve">  Services Gross Margin %</t>
  </si>
  <si>
    <t xml:space="preserve">  Total Gross Margin %</t>
  </si>
  <si>
    <t xml:space="preserve">Operating Expenses</t>
  </si>
  <si>
    <t xml:space="preserve">Research &amp; Development</t>
  </si>
  <si>
    <t xml:space="preserve">Selling, General &amp; Administrative</t>
  </si>
  <si>
    <t xml:space="preserve">Total Operating Expenses</t>
  </si>
  <si>
    <t xml:space="preserve">Operating Income</t>
  </si>
  <si>
    <t xml:space="preserve">  Operating Margin %</t>
  </si>
  <si>
    <t xml:space="preserve">Other Income/(Expense), net</t>
  </si>
  <si>
    <t xml:space="preserve">Income Before Provision for Income Taxes</t>
  </si>
  <si>
    <t xml:space="preserve">Provision for Income Taxes</t>
  </si>
  <si>
    <t xml:space="preserve">  Effective Tax Rate %</t>
  </si>
  <si>
    <t xml:space="preserve">Net Income</t>
  </si>
  <si>
    <t xml:space="preserve">  Net Margin %</t>
  </si>
  <si>
    <t xml:space="preserve">Per-Share Data</t>
  </si>
  <si>
    <t xml:space="preserve">Diluted Weighted-Average Shares (000s)</t>
  </si>
  <si>
    <t xml:space="preserve">Diluted EPS</t>
  </si>
  <si>
    <t xml:space="preserve">Basic Weighted-Average Shares (000s)</t>
  </si>
  <si>
    <t xml:space="preserve">Basic EPS</t>
  </si>
  <si>
    <t xml:space="preserve">Apple Inc. (AAPL) — Model Notes &amp; Sources</t>
  </si>
  <si>
    <t xml:space="preserve">Color legend (Income Statement tab)</t>
  </si>
  <si>
    <t xml:space="preserve">  Blue text  = hardcoded actual figures sourced directly from Apple's SEC filings (10-K/10-Q) and quarterly press-release financial statements.</t>
  </si>
  <si>
    <t xml:space="preserve">  Black text = formula calculated from other cells on the same sheet (e.g. subtotals, margins, EPS).</t>
  </si>
  <si>
    <t xml:space="preserve">  Green text = formula that pulls a growth rate, margin, or ratio assumption from the Assumptions tab (forecast periods only).</t>
  </si>
  <si>
    <t xml:space="preserve">Historical data sources</t>
  </si>
  <si>
    <t xml:space="preserve">  FY2024 (annual) and FY2025 Q1-Q4: Apple Inc. Condensed Consolidated Statements of Operations, quarterly press releases (apple.com/newsroom) and Form 10-K (fiscal year ended September 27, 2025), filed with the SEC.</t>
  </si>
  <si>
    <t xml:space="preserve">  FY2026 Q1 (qtr ended Dec 27, 2025), Q2 (qtr ended Mar 28, 2026), Q3 (qtr ended Jun 27, 2026): Apple Inc. Condensed Consolidated Statements of Operations, quarterly press releases and Forms 10-Q filed with the SEC.</t>
  </si>
  <si>
    <t xml:space="preserve">  All historical figures reconcile exactly to Apple's reported quarterly and annual totals (net sales, cost of sales, operating expenses, tax provision, net income).</t>
  </si>
  <si>
    <t xml:space="preserve">Forecast basis (Q4 FY2026E onward)</t>
  </si>
  <si>
    <t xml:space="preserve">  Q4 FY2026E: informed by Apple management's guidance given on the July 30, 2026 Q3 FY2026 earnings call — total revenue growth of 9-11% YoY, gross margin of 47-48% (including ~1 pt of tariff-refund benefit), and iPhone revenue growth in the mid-teens YoY, tempered by cited FX headwinds (~2.5 pts) and increasing supply constraints.</t>
  </si>
  <si>
    <t xml:space="preserve">  FY2027E-FY2028E: iPhone growth normalizes from the elevated iPhone 17 upgrade cycle towards high-single-digit then mid-single-digit growth; Services continues durable low-double-digit growth; Mac/iPad/Wearables grow at low-single-digit rates consistent with mature-category trends; Products gross margin assumed to expand modestly via mix shift (excluding one-time tariff-refund effects).</t>
  </si>
  <si>
    <t xml:space="preserve">  R&amp;D and SG&amp;A are forecast on a year-over-year $ growth basis (vs. the same fiscal quarter one year prior), not as a % of same-quarter revenue — Apple's opex budget does not scale with the large Q1 holiday-quarter revenue spike, so a flat %-of-revenue driver would understate Q1 opex and distort YoY comparisons. R&amp;D growth is held elevated in Q4 FY2026E (+30% YoY, matching the +32-34% pace seen in FY2026 Q1-Q3, tied to AI infrastructure investment per Apple's 10-Q commentary) and assumed to decelerate to +14% YoY in FY2027E and +9% YoY in FY2028E as the initial AI buildout normalizes. SG&amp;A growth decelerates from +9% (Q4 FY2026E) to +7.5% (FY2027E) to +6.5% (FY2028E).</t>
  </si>
  <si>
    <t xml:space="preserve">  Effective tax rate held near the ~17.5% rate observed in FY2026 quarters. Other income/(expense), net is modeled as a flat $ per quarter (recent actuals bounce between roughly -$50M and +$570M on FX/interest marks) rather than scaled to revenue. Diluted share count assumed to keep declining ~0.35%/quarter on continued buybacks (Apple authorized an incremental $100B repurchase program in Q2 FY2026).</t>
  </si>
  <si>
    <t xml:space="preserve">  All forecast assumptions are editable on the Assumptions tab; the Income Statement tab recalculates automatically.</t>
  </si>
  <si>
    <t xml:space="preserve">Limitations</t>
  </si>
  <si>
    <t xml:space="preserve">  This is an independently constructed illustrative forecast, not Apple guidance beyond the single explicitly-cited Q4 FY2026 data point. Actual results will differ.</t>
  </si>
  <si>
    <t xml:space="preserve">  Q1 FY2026 diluted/basic weighted-average share counts are Apple's reported 10-Q figures (14,810,356K diluted / 14,748,158K basic); all other historical share counts are likewise exact reported figures.</t>
  </si>
  <si>
    <t xml:space="preserve">  Annual (FY) diluted/basic share counts are approximated as the simple average of the four quarterly weighted-average share counts, which may differ slightly from Apple's own full-year weighted-average share count disclosure.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</si>
</sst>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;\(0.0%\)"/>
    <numFmt numFmtId="166" formatCode="#,##0;\(#,##0\)"/>
    <numFmt numFmtId="167" formatCode="0.000"/>
    <numFmt numFmtId="168" formatCode="\$#,##0.00;&quot;($&quot;#,##0.00\)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sz val="10"/>
      <color rgb="FF1F4E78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61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i val="true"/>
      <sz val="1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CE4D6"/>
        <bgColor rgb="FFD9E1F2"/>
      </patternFill>
    </fill>
    <fill>
      <patternFill patternType="solid">
        <fgColor rgb="FF1F4E78"/>
        <bgColor rgb="FF003366"/>
      </patternFill>
    </fill>
    <fill>
      <patternFill patternType="solid">
        <fgColor rgb="FFB4C6E7"/>
        <bgColor rgb="FF99CCFF"/>
      </patternFill>
    </fill>
    <fill>
      <patternFill patternType="solid">
        <fgColor rgb="FFD9E1F2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404040"/>
      </bottom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0" min="2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7" customFormat="false" ht="15" hidden="false" customHeight="false" outlineLevel="0" collapsed="false">
      <c r="A7" s="5" t="s">
        <v>13</v>
      </c>
      <c r="B7" s="6"/>
      <c r="C7" s="6"/>
      <c r="D7" s="6"/>
      <c r="E7" s="6"/>
      <c r="F7" s="6"/>
      <c r="G7" s="6"/>
      <c r="H7" s="6"/>
      <c r="I7" s="6"/>
      <c r="J7" s="6"/>
    </row>
    <row r="8" customFormat="false" ht="15" hidden="false" customHeight="false" outlineLevel="0" collapsed="false">
      <c r="A8" s="7" t="s">
        <v>14</v>
      </c>
      <c r="B8" s="8" t="n">
        <v>0.13</v>
      </c>
      <c r="C8" s="8" t="n">
        <v>0.08</v>
      </c>
      <c r="D8" s="8" t="n">
        <v>0.08</v>
      </c>
      <c r="E8" s="8" t="n">
        <v>0.08</v>
      </c>
      <c r="F8" s="8" t="n">
        <v>0.08</v>
      </c>
      <c r="G8" s="8" t="n">
        <v>0.06</v>
      </c>
      <c r="H8" s="8" t="n">
        <v>0.06</v>
      </c>
      <c r="I8" s="8" t="n">
        <v>0.06</v>
      </c>
      <c r="J8" s="8" t="n">
        <v>0.06</v>
      </c>
    </row>
    <row r="9" customFormat="false" ht="15" hidden="false" customHeight="false" outlineLevel="0" collapsed="false">
      <c r="A9" s="7" t="s">
        <v>15</v>
      </c>
      <c r="B9" s="8" t="n">
        <v>0.04</v>
      </c>
      <c r="C9" s="8" t="n">
        <v>0.05</v>
      </c>
      <c r="D9" s="8" t="n">
        <v>0.05</v>
      </c>
      <c r="E9" s="8" t="n">
        <v>0.05</v>
      </c>
      <c r="F9" s="8" t="n">
        <v>0.05</v>
      </c>
      <c r="G9" s="8" t="n">
        <v>0.05</v>
      </c>
      <c r="H9" s="8" t="n">
        <v>0.05</v>
      </c>
      <c r="I9" s="8" t="n">
        <v>0.05</v>
      </c>
      <c r="J9" s="8" t="n">
        <v>0.05</v>
      </c>
    </row>
    <row r="10" customFormat="false" ht="15" hidden="false" customHeight="false" outlineLevel="0" collapsed="false">
      <c r="A10" s="7" t="s">
        <v>16</v>
      </c>
      <c r="B10" s="8" t="n">
        <v>0.02</v>
      </c>
      <c r="C10" s="8" t="n">
        <v>0.04</v>
      </c>
      <c r="D10" s="8" t="n">
        <v>0.04</v>
      </c>
      <c r="E10" s="8" t="n">
        <v>0.04</v>
      </c>
      <c r="F10" s="8" t="n">
        <v>0.04</v>
      </c>
      <c r="G10" s="8" t="n">
        <v>0.04</v>
      </c>
      <c r="H10" s="8" t="n">
        <v>0.04</v>
      </c>
      <c r="I10" s="8" t="n">
        <v>0.04</v>
      </c>
      <c r="J10" s="8" t="n">
        <v>0.04</v>
      </c>
    </row>
    <row r="11" customFormat="false" ht="15" hidden="false" customHeight="false" outlineLevel="0" collapsed="false">
      <c r="A11" s="7" t="s">
        <v>17</v>
      </c>
      <c r="B11" s="8" t="n">
        <v>0.01</v>
      </c>
      <c r="C11" s="8" t="n">
        <v>0.03</v>
      </c>
      <c r="D11" s="8" t="n">
        <v>0.03</v>
      </c>
      <c r="E11" s="8" t="n">
        <v>0.03</v>
      </c>
      <c r="F11" s="8" t="n">
        <v>0.03</v>
      </c>
      <c r="G11" s="8" t="n">
        <v>0.03</v>
      </c>
      <c r="H11" s="8" t="n">
        <v>0.03</v>
      </c>
      <c r="I11" s="8" t="n">
        <v>0.03</v>
      </c>
      <c r="J11" s="8" t="n">
        <v>0.03</v>
      </c>
    </row>
    <row r="12" customFormat="false" ht="15" hidden="false" customHeight="false" outlineLevel="0" collapsed="false">
      <c r="A12" s="7" t="s">
        <v>18</v>
      </c>
      <c r="B12" s="8" t="n">
        <v>0.12</v>
      </c>
      <c r="C12" s="8" t="n">
        <v>0.12</v>
      </c>
      <c r="D12" s="8" t="n">
        <v>0.12</v>
      </c>
      <c r="E12" s="8" t="n">
        <v>0.12</v>
      </c>
      <c r="F12" s="8" t="n">
        <v>0.12</v>
      </c>
      <c r="G12" s="8" t="n">
        <v>0.11</v>
      </c>
      <c r="H12" s="8" t="n">
        <v>0.11</v>
      </c>
      <c r="I12" s="8" t="n">
        <v>0.11</v>
      </c>
      <c r="J12" s="8" t="n">
        <v>0.11</v>
      </c>
    </row>
    <row r="14" customFormat="false" ht="15" hidden="false" customHeight="false" outlineLevel="0" collapsed="false">
      <c r="A14" s="5" t="s">
        <v>19</v>
      </c>
      <c r="B14" s="6"/>
      <c r="C14" s="6"/>
      <c r="D14" s="6"/>
      <c r="E14" s="6"/>
      <c r="F14" s="6"/>
      <c r="G14" s="6"/>
      <c r="H14" s="6"/>
      <c r="I14" s="6"/>
      <c r="J14" s="6"/>
    </row>
    <row r="15" customFormat="false" ht="15" hidden="false" customHeight="false" outlineLevel="0" collapsed="false">
      <c r="A15" s="7" t="s">
        <v>20</v>
      </c>
      <c r="B15" s="8" t="n">
        <v>0.365</v>
      </c>
      <c r="C15" s="8" t="n">
        <v>0.38</v>
      </c>
      <c r="D15" s="8" t="n">
        <v>0.38</v>
      </c>
      <c r="E15" s="8" t="n">
        <v>0.38</v>
      </c>
      <c r="F15" s="8" t="n">
        <v>0.38</v>
      </c>
      <c r="G15" s="8" t="n">
        <v>0.385</v>
      </c>
      <c r="H15" s="8" t="n">
        <v>0.385</v>
      </c>
      <c r="I15" s="8" t="n">
        <v>0.385</v>
      </c>
      <c r="J15" s="8" t="n">
        <v>0.385</v>
      </c>
    </row>
    <row r="16" customFormat="false" ht="15" hidden="false" customHeight="false" outlineLevel="0" collapsed="false">
      <c r="A16" s="7" t="s">
        <v>21</v>
      </c>
      <c r="B16" s="8" t="n">
        <v>0.755</v>
      </c>
      <c r="C16" s="8" t="n">
        <v>0.76</v>
      </c>
      <c r="D16" s="8" t="n">
        <v>0.76</v>
      </c>
      <c r="E16" s="8" t="n">
        <v>0.76</v>
      </c>
      <c r="F16" s="8" t="n">
        <v>0.76</v>
      </c>
      <c r="G16" s="8" t="n">
        <v>0.765</v>
      </c>
      <c r="H16" s="8" t="n">
        <v>0.765</v>
      </c>
      <c r="I16" s="8" t="n">
        <v>0.765</v>
      </c>
      <c r="J16" s="8" t="n">
        <v>0.765</v>
      </c>
    </row>
    <row r="18" customFormat="false" ht="15" hidden="false" customHeight="false" outlineLevel="0" collapsed="false">
      <c r="A18" s="5" t="s">
        <v>22</v>
      </c>
      <c r="B18" s="6"/>
      <c r="C18" s="6"/>
      <c r="D18" s="6"/>
      <c r="E18" s="6"/>
      <c r="F18" s="6"/>
      <c r="G18" s="6"/>
      <c r="H18" s="6"/>
      <c r="I18" s="6"/>
      <c r="J18" s="6"/>
    </row>
    <row r="19" customFormat="false" ht="15" hidden="false" customHeight="false" outlineLevel="0" collapsed="false">
      <c r="A19" s="7" t="s">
        <v>23</v>
      </c>
      <c r="B19" s="8" t="n">
        <v>0.3</v>
      </c>
      <c r="C19" s="8" t="n">
        <v>0.14</v>
      </c>
      <c r="D19" s="8" t="n">
        <v>0.14</v>
      </c>
      <c r="E19" s="8" t="n">
        <v>0.14</v>
      </c>
      <c r="F19" s="8" t="n">
        <v>0.14</v>
      </c>
      <c r="G19" s="8" t="n">
        <v>0.09</v>
      </c>
      <c r="H19" s="8" t="n">
        <v>0.09</v>
      </c>
      <c r="I19" s="8" t="n">
        <v>0.09</v>
      </c>
      <c r="J19" s="8" t="n">
        <v>0.09</v>
      </c>
    </row>
    <row r="20" customFormat="false" ht="15" hidden="false" customHeight="false" outlineLevel="0" collapsed="false">
      <c r="A20" s="7" t="s">
        <v>24</v>
      </c>
      <c r="B20" s="8" t="n">
        <v>0.09</v>
      </c>
      <c r="C20" s="8" t="n">
        <v>0.075</v>
      </c>
      <c r="D20" s="8" t="n">
        <v>0.075</v>
      </c>
      <c r="E20" s="8" t="n">
        <v>0.075</v>
      </c>
      <c r="F20" s="8" t="n">
        <v>0.075</v>
      </c>
      <c r="G20" s="8" t="n">
        <v>0.065</v>
      </c>
      <c r="H20" s="8" t="n">
        <v>0.065</v>
      </c>
      <c r="I20" s="8" t="n">
        <v>0.065</v>
      </c>
      <c r="J20" s="8" t="n">
        <v>0.065</v>
      </c>
    </row>
    <row r="22" customFormat="false" ht="15" hidden="false" customHeight="false" outlineLevel="0" collapsed="false">
      <c r="A22" s="5" t="s">
        <v>25</v>
      </c>
      <c r="B22" s="6"/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A23" s="7" t="s">
        <v>26</v>
      </c>
      <c r="B23" s="9" t="n">
        <v>200</v>
      </c>
      <c r="C23" s="9" t="n">
        <v>200</v>
      </c>
      <c r="D23" s="9" t="n">
        <v>200</v>
      </c>
      <c r="E23" s="9" t="n">
        <v>200</v>
      </c>
      <c r="F23" s="9" t="n">
        <v>200</v>
      </c>
      <c r="G23" s="9" t="n">
        <v>225</v>
      </c>
      <c r="H23" s="9" t="n">
        <v>225</v>
      </c>
      <c r="I23" s="9" t="n">
        <v>225</v>
      </c>
      <c r="J23" s="9" t="n">
        <v>225</v>
      </c>
    </row>
    <row r="24" customFormat="false" ht="15" hidden="false" customHeight="false" outlineLevel="0" collapsed="false">
      <c r="A24" s="7" t="s">
        <v>27</v>
      </c>
      <c r="B24" s="8" t="n">
        <v>0.175</v>
      </c>
      <c r="C24" s="8" t="n">
        <v>0.175</v>
      </c>
      <c r="D24" s="8" t="n">
        <v>0.175</v>
      </c>
      <c r="E24" s="8" t="n">
        <v>0.175</v>
      </c>
      <c r="F24" s="8" t="n">
        <v>0.175</v>
      </c>
      <c r="G24" s="8" t="n">
        <v>0.175</v>
      </c>
      <c r="H24" s="8" t="n">
        <v>0.175</v>
      </c>
      <c r="I24" s="8" t="n">
        <v>0.175</v>
      </c>
      <c r="J24" s="8" t="n">
        <v>0.175</v>
      </c>
    </row>
    <row r="25" customFormat="false" ht="15" hidden="false" customHeight="false" outlineLevel="0" collapsed="false">
      <c r="A25" s="7" t="s">
        <v>28</v>
      </c>
      <c r="B25" s="8" t="n">
        <v>-0.0035</v>
      </c>
      <c r="C25" s="8" t="n">
        <v>-0.0035</v>
      </c>
      <c r="D25" s="8" t="n">
        <v>-0.0035</v>
      </c>
      <c r="E25" s="8" t="n">
        <v>-0.0035</v>
      </c>
      <c r="F25" s="8" t="n">
        <v>-0.0035</v>
      </c>
      <c r="G25" s="8" t="n">
        <v>-0.0035</v>
      </c>
      <c r="H25" s="8" t="n">
        <v>-0.0035</v>
      </c>
      <c r="I25" s="8" t="n">
        <v>-0.0035</v>
      </c>
      <c r="J25" s="8" t="n">
        <v>-0.0035</v>
      </c>
    </row>
    <row r="26" customFormat="false" ht="15" hidden="false" customHeight="false" outlineLevel="0" collapsed="false">
      <c r="A26" s="7" t="s">
        <v>29</v>
      </c>
      <c r="B26" s="10" t="n">
        <v>0.996</v>
      </c>
      <c r="C26" s="10" t="n">
        <v>0.996</v>
      </c>
      <c r="D26" s="10" t="n">
        <v>0.996</v>
      </c>
      <c r="E26" s="10" t="n">
        <v>0.996</v>
      </c>
      <c r="F26" s="10" t="n">
        <v>0.996</v>
      </c>
      <c r="G26" s="10" t="n">
        <v>0.996</v>
      </c>
      <c r="H26" s="10" t="n">
        <v>0.996</v>
      </c>
      <c r="I26" s="10" t="n">
        <v>0.996</v>
      </c>
      <c r="J26" s="10" t="n">
        <v>0.996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2" min="2" style="0" width="11.5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3" customFormat="false" ht="15" hidden="false" customHeight="false" outlineLevel="0" collapsed="false">
      <c r="A3" s="2" t="s">
        <v>32</v>
      </c>
    </row>
    <row r="5" customFormat="false" ht="15" hidden="false" customHeight="false" outlineLevel="0" collapsed="false">
      <c r="B5" s="11" t="s">
        <v>33</v>
      </c>
      <c r="C5" s="12" t="s">
        <v>34</v>
      </c>
      <c r="D5" s="12"/>
      <c r="E5" s="12"/>
      <c r="F5" s="12"/>
      <c r="G5" s="12"/>
      <c r="H5" s="12" t="s">
        <v>35</v>
      </c>
      <c r="I5" s="12"/>
      <c r="J5" s="12"/>
      <c r="K5" s="12"/>
      <c r="L5" s="12"/>
      <c r="M5" s="12" t="s">
        <v>36</v>
      </c>
      <c r="N5" s="12"/>
      <c r="O5" s="12"/>
      <c r="P5" s="12"/>
      <c r="Q5" s="12"/>
      <c r="R5" s="12" t="s">
        <v>37</v>
      </c>
      <c r="S5" s="12"/>
      <c r="T5" s="12"/>
      <c r="U5" s="12"/>
      <c r="V5" s="12"/>
    </row>
    <row r="6" customFormat="false" ht="15" hidden="false" customHeight="false" outlineLevel="0" collapsed="false">
      <c r="A6" s="13"/>
      <c r="B6" s="14" t="s">
        <v>38</v>
      </c>
      <c r="C6" s="14" t="s">
        <v>39</v>
      </c>
      <c r="D6" s="14" t="s">
        <v>40</v>
      </c>
      <c r="E6" s="14" t="s">
        <v>41</v>
      </c>
      <c r="F6" s="14" t="s">
        <v>42</v>
      </c>
      <c r="G6" s="15" t="s">
        <v>43</v>
      </c>
      <c r="H6" s="14" t="s">
        <v>44</v>
      </c>
      <c r="I6" s="14" t="s">
        <v>45</v>
      </c>
      <c r="J6" s="14" t="s">
        <v>46</v>
      </c>
      <c r="K6" s="4" t="s">
        <v>4</v>
      </c>
      <c r="L6" s="15" t="s">
        <v>47</v>
      </c>
      <c r="M6" s="4" t="s">
        <v>5</v>
      </c>
      <c r="N6" s="4" t="s">
        <v>6</v>
      </c>
      <c r="O6" s="4" t="s">
        <v>7</v>
      </c>
      <c r="P6" s="4" t="s">
        <v>8</v>
      </c>
      <c r="Q6" s="15" t="s">
        <v>48</v>
      </c>
      <c r="R6" s="4" t="s">
        <v>9</v>
      </c>
      <c r="S6" s="4" t="s">
        <v>10</v>
      </c>
      <c r="T6" s="4" t="s">
        <v>11</v>
      </c>
      <c r="U6" s="4" t="s">
        <v>12</v>
      </c>
      <c r="V6" s="15" t="s">
        <v>49</v>
      </c>
    </row>
    <row r="8" customFormat="false" ht="15" hidden="false" customHeight="false" outlineLevel="0" collapsed="false">
      <c r="A8" s="5" t="s">
        <v>50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customFormat="false" ht="15" hidden="false" customHeight="false" outlineLevel="0" collapsed="false">
      <c r="A9" s="7" t="s">
        <v>14</v>
      </c>
      <c r="B9" s="16" t="n">
        <v>201183</v>
      </c>
      <c r="C9" s="16" t="n">
        <v>69138</v>
      </c>
      <c r="D9" s="16" t="n">
        <v>46841</v>
      </c>
      <c r="E9" s="16" t="n">
        <v>44582</v>
      </c>
      <c r="F9" s="16" t="n">
        <v>49025</v>
      </c>
      <c r="G9" s="17" t="n">
        <f aca="false">SUM(C9:F9)</f>
        <v>209586</v>
      </c>
      <c r="H9" s="16" t="n">
        <v>85269</v>
      </c>
      <c r="I9" s="16" t="n">
        <v>56994</v>
      </c>
      <c r="J9" s="16" t="n">
        <v>54252</v>
      </c>
      <c r="K9" s="18" t="n">
        <f aca="false">F9*(1+Assumptions!B8)</f>
        <v>55398.25</v>
      </c>
      <c r="L9" s="17" t="n">
        <f aca="false">SUM(H9:K9)</f>
        <v>251913.25</v>
      </c>
      <c r="M9" s="18" t="n">
        <f aca="false">H9*(1+Assumptions!C8)</f>
        <v>92090.52</v>
      </c>
      <c r="N9" s="18" t="n">
        <f aca="false">I9*(1+Assumptions!D8)</f>
        <v>61553.52</v>
      </c>
      <c r="O9" s="18" t="n">
        <f aca="false">J9*(1+Assumptions!E8)</f>
        <v>58592.16</v>
      </c>
      <c r="P9" s="18" t="n">
        <f aca="false">K9*(1+Assumptions!F8)</f>
        <v>59830.11</v>
      </c>
      <c r="Q9" s="17" t="n">
        <f aca="false">SUM(M9:P9)</f>
        <v>272066.31</v>
      </c>
      <c r="R9" s="18" t="n">
        <f aca="false">M9*(1+Assumptions!G8)</f>
        <v>97615.9512</v>
      </c>
      <c r="S9" s="18" t="n">
        <f aca="false">N9*(1+Assumptions!H8)</f>
        <v>65246.7312</v>
      </c>
      <c r="T9" s="18" t="n">
        <f aca="false">O9*(1+Assumptions!I8)</f>
        <v>62107.6896</v>
      </c>
      <c r="U9" s="18" t="n">
        <f aca="false">P9*(1+Assumptions!J8)</f>
        <v>63419.9166</v>
      </c>
      <c r="V9" s="17" t="n">
        <f aca="false">SUM(R9:U9)</f>
        <v>288390.2886</v>
      </c>
    </row>
    <row r="10" customFormat="false" ht="15" hidden="false" customHeight="false" outlineLevel="0" collapsed="false">
      <c r="A10" s="7" t="s">
        <v>15</v>
      </c>
      <c r="B10" s="16" t="n">
        <v>29984</v>
      </c>
      <c r="C10" s="16" t="n">
        <v>8987</v>
      </c>
      <c r="D10" s="16" t="n">
        <v>7949</v>
      </c>
      <c r="E10" s="16" t="n">
        <v>8046</v>
      </c>
      <c r="F10" s="16" t="n">
        <v>8726</v>
      </c>
      <c r="G10" s="17" t="n">
        <f aca="false">SUM(C10:F10)</f>
        <v>33708</v>
      </c>
      <c r="H10" s="16" t="n">
        <v>8386</v>
      </c>
      <c r="I10" s="16" t="n">
        <v>8399</v>
      </c>
      <c r="J10" s="16" t="n">
        <v>10352</v>
      </c>
      <c r="K10" s="18" t="n">
        <f aca="false">F10*(1+Assumptions!B9)</f>
        <v>9075.04</v>
      </c>
      <c r="L10" s="17" t="n">
        <f aca="false">SUM(H10:K10)</f>
        <v>36212.04</v>
      </c>
      <c r="M10" s="18" t="n">
        <f aca="false">H10*(1+Assumptions!C9)</f>
        <v>8805.3</v>
      </c>
      <c r="N10" s="18" t="n">
        <f aca="false">I10*(1+Assumptions!D9)</f>
        <v>8818.95</v>
      </c>
      <c r="O10" s="18" t="n">
        <f aca="false">J10*(1+Assumptions!E9)</f>
        <v>10869.6</v>
      </c>
      <c r="P10" s="18" t="n">
        <f aca="false">K10*(1+Assumptions!F9)</f>
        <v>9528.792</v>
      </c>
      <c r="Q10" s="17" t="n">
        <f aca="false">SUM(M10:P10)</f>
        <v>38022.642</v>
      </c>
      <c r="R10" s="18" t="n">
        <f aca="false">M10*(1+Assumptions!G9)</f>
        <v>9245.565</v>
      </c>
      <c r="S10" s="18" t="n">
        <f aca="false">N10*(1+Assumptions!H9)</f>
        <v>9259.8975</v>
      </c>
      <c r="T10" s="18" t="n">
        <f aca="false">O10*(1+Assumptions!I9)</f>
        <v>11413.08</v>
      </c>
      <c r="U10" s="18" t="n">
        <f aca="false">P10*(1+Assumptions!J9)</f>
        <v>10005.2316</v>
      </c>
      <c r="V10" s="17" t="n">
        <f aca="false">SUM(R10:U10)</f>
        <v>39923.7741</v>
      </c>
    </row>
    <row r="11" customFormat="false" ht="15" hidden="false" customHeight="false" outlineLevel="0" collapsed="false">
      <c r="A11" s="7" t="s">
        <v>16</v>
      </c>
      <c r="B11" s="16" t="n">
        <v>26694</v>
      </c>
      <c r="C11" s="16" t="n">
        <v>8088</v>
      </c>
      <c r="D11" s="16" t="n">
        <v>6402</v>
      </c>
      <c r="E11" s="16" t="n">
        <v>6581</v>
      </c>
      <c r="F11" s="16" t="n">
        <v>6952</v>
      </c>
      <c r="G11" s="17" t="n">
        <f aca="false">SUM(C11:F11)</f>
        <v>28023</v>
      </c>
      <c r="H11" s="16" t="n">
        <v>8595</v>
      </c>
      <c r="I11" s="16" t="n">
        <v>6914</v>
      </c>
      <c r="J11" s="16" t="n">
        <v>6191</v>
      </c>
      <c r="K11" s="18" t="n">
        <f aca="false">F11*(1+Assumptions!B10)</f>
        <v>7091.04</v>
      </c>
      <c r="L11" s="17" t="n">
        <f aca="false">SUM(H11:K11)</f>
        <v>28791.04</v>
      </c>
      <c r="M11" s="18" t="n">
        <f aca="false">H11*(1+Assumptions!C10)</f>
        <v>8938.8</v>
      </c>
      <c r="N11" s="18" t="n">
        <f aca="false">I11*(1+Assumptions!D10)</f>
        <v>7190.56</v>
      </c>
      <c r="O11" s="18" t="n">
        <f aca="false">J11*(1+Assumptions!E10)</f>
        <v>6438.64</v>
      </c>
      <c r="P11" s="18" t="n">
        <f aca="false">K11*(1+Assumptions!F10)</f>
        <v>7374.6816</v>
      </c>
      <c r="Q11" s="17" t="n">
        <f aca="false">SUM(M11:P11)</f>
        <v>29942.6816</v>
      </c>
      <c r="R11" s="18" t="n">
        <f aca="false">M11*(1+Assumptions!G10)</f>
        <v>9296.352</v>
      </c>
      <c r="S11" s="18" t="n">
        <f aca="false">N11*(1+Assumptions!H10)</f>
        <v>7478.1824</v>
      </c>
      <c r="T11" s="18" t="n">
        <f aca="false">O11*(1+Assumptions!I10)</f>
        <v>6696.1856</v>
      </c>
      <c r="U11" s="18" t="n">
        <f aca="false">P11*(1+Assumptions!J10)</f>
        <v>7669.668864</v>
      </c>
      <c r="V11" s="17" t="n">
        <f aca="false">SUM(R11:U11)</f>
        <v>31140.388864</v>
      </c>
    </row>
    <row r="12" customFormat="false" ht="15" hidden="false" customHeight="false" outlineLevel="0" collapsed="false">
      <c r="A12" s="7" t="s">
        <v>17</v>
      </c>
      <c r="B12" s="16" t="n">
        <v>37005</v>
      </c>
      <c r="C12" s="16" t="n">
        <v>11747</v>
      </c>
      <c r="D12" s="16" t="n">
        <v>7522</v>
      </c>
      <c r="E12" s="16" t="n">
        <v>7404</v>
      </c>
      <c r="F12" s="16" t="n">
        <v>9013</v>
      </c>
      <c r="G12" s="17" t="n">
        <f aca="false">SUM(C12:F12)</f>
        <v>35686</v>
      </c>
      <c r="H12" s="16" t="n">
        <v>11493</v>
      </c>
      <c r="I12" s="16" t="n">
        <v>7901</v>
      </c>
      <c r="J12" s="16" t="n">
        <v>7883</v>
      </c>
      <c r="K12" s="18" t="n">
        <f aca="false">F12*(1+Assumptions!B11)</f>
        <v>9103.13</v>
      </c>
      <c r="L12" s="17" t="n">
        <f aca="false">SUM(H12:K12)</f>
        <v>36380.13</v>
      </c>
      <c r="M12" s="18" t="n">
        <f aca="false">H12*(1+Assumptions!C11)</f>
        <v>11837.79</v>
      </c>
      <c r="N12" s="18" t="n">
        <f aca="false">I12*(1+Assumptions!D11)</f>
        <v>8138.03</v>
      </c>
      <c r="O12" s="18" t="n">
        <f aca="false">J12*(1+Assumptions!E11)</f>
        <v>8119.49</v>
      </c>
      <c r="P12" s="18" t="n">
        <f aca="false">K12*(1+Assumptions!F11)</f>
        <v>9376.2239</v>
      </c>
      <c r="Q12" s="17" t="n">
        <f aca="false">SUM(M12:P12)</f>
        <v>37471.5339</v>
      </c>
      <c r="R12" s="18" t="n">
        <f aca="false">M12*(1+Assumptions!G11)</f>
        <v>12192.9237</v>
      </c>
      <c r="S12" s="18" t="n">
        <f aca="false">N12*(1+Assumptions!H11)</f>
        <v>8382.1709</v>
      </c>
      <c r="T12" s="18" t="n">
        <f aca="false">O12*(1+Assumptions!I11)</f>
        <v>8363.0747</v>
      </c>
      <c r="U12" s="18" t="n">
        <f aca="false">P12*(1+Assumptions!J11)</f>
        <v>9657.510617</v>
      </c>
      <c r="V12" s="17" t="n">
        <f aca="false">SUM(R12:U12)</f>
        <v>38595.679917</v>
      </c>
    </row>
    <row r="13" customFormat="false" ht="15" hidden="false" customHeight="false" outlineLevel="0" collapsed="false">
      <c r="A13" s="19" t="s">
        <v>51</v>
      </c>
      <c r="B13" s="20" t="n">
        <f aca="false">B9+B10+B11+B12</f>
        <v>294866</v>
      </c>
      <c r="C13" s="20" t="n">
        <f aca="false">C9+C10+C11+C12</f>
        <v>97960</v>
      </c>
      <c r="D13" s="20" t="n">
        <f aca="false">D9+D10+D11+D12</f>
        <v>68714</v>
      </c>
      <c r="E13" s="20" t="n">
        <f aca="false">E9+E10+E11+E12</f>
        <v>66613</v>
      </c>
      <c r="F13" s="20" t="n">
        <f aca="false">F9+F10+F11+F12</f>
        <v>73716</v>
      </c>
      <c r="G13" s="20" t="n">
        <f aca="false">G9+G10+G11+G12</f>
        <v>307003</v>
      </c>
      <c r="H13" s="20" t="n">
        <f aca="false">H9+H10+H11+H12</f>
        <v>113743</v>
      </c>
      <c r="I13" s="20" t="n">
        <f aca="false">I9+I10+I11+I12</f>
        <v>80208</v>
      </c>
      <c r="J13" s="20" t="n">
        <f aca="false">J9+J10+J11+J12</f>
        <v>78678</v>
      </c>
      <c r="K13" s="20" t="n">
        <f aca="false">K9+K10+K11+K12</f>
        <v>80667.46</v>
      </c>
      <c r="L13" s="20" t="n">
        <f aca="false">L9+L10+L11+L12</f>
        <v>353296.46</v>
      </c>
      <c r="M13" s="20" t="n">
        <f aca="false">M9+M10+M11+M12</f>
        <v>121672.41</v>
      </c>
      <c r="N13" s="20" t="n">
        <f aca="false">N9+N10+N11+N12</f>
        <v>85701.06</v>
      </c>
      <c r="O13" s="20" t="n">
        <f aca="false">O9+O10+O11+O12</f>
        <v>84019.89</v>
      </c>
      <c r="P13" s="20" t="n">
        <f aca="false">P9+P10+P11+P12</f>
        <v>86109.8075</v>
      </c>
      <c r="Q13" s="20" t="n">
        <f aca="false">Q9+Q10+Q11+Q12</f>
        <v>377503.1675</v>
      </c>
      <c r="R13" s="20" t="n">
        <f aca="false">R9+R10+R11+R12</f>
        <v>128350.7919</v>
      </c>
      <c r="S13" s="20" t="n">
        <f aca="false">S9+S10+S11+S12</f>
        <v>90366.982</v>
      </c>
      <c r="T13" s="20" t="n">
        <f aca="false">T9+T10+T11+T12</f>
        <v>88580.0299</v>
      </c>
      <c r="U13" s="20" t="n">
        <f aca="false">U9+U10+U11+U12</f>
        <v>90752.327681</v>
      </c>
      <c r="V13" s="20" t="n">
        <f aca="false">V9+V10+V11+V12</f>
        <v>398050.131481</v>
      </c>
    </row>
    <row r="14" customFormat="false" ht="15" hidden="false" customHeight="false" outlineLevel="0" collapsed="false">
      <c r="A14" s="7" t="s">
        <v>18</v>
      </c>
      <c r="B14" s="16" t="n">
        <v>96169</v>
      </c>
      <c r="C14" s="16" t="n">
        <v>26340</v>
      </c>
      <c r="D14" s="16" t="n">
        <v>26645</v>
      </c>
      <c r="E14" s="16" t="n">
        <v>27423</v>
      </c>
      <c r="F14" s="16" t="n">
        <v>28750</v>
      </c>
      <c r="G14" s="17" t="n">
        <f aca="false">SUM(C14:F14)</f>
        <v>109158</v>
      </c>
      <c r="H14" s="16" t="n">
        <v>30013</v>
      </c>
      <c r="I14" s="16" t="n">
        <v>30976</v>
      </c>
      <c r="J14" s="16" t="n">
        <v>30739</v>
      </c>
      <c r="K14" s="18" t="n">
        <f aca="false">F14*(1+Assumptions!B12)</f>
        <v>32200</v>
      </c>
      <c r="L14" s="17" t="n">
        <f aca="false">SUM(H14:K14)</f>
        <v>123928</v>
      </c>
      <c r="M14" s="18" t="n">
        <f aca="false">H14*(1+Assumptions!C12)</f>
        <v>33614.56</v>
      </c>
      <c r="N14" s="18" t="n">
        <f aca="false">I14*(1+Assumptions!D12)</f>
        <v>34693.12</v>
      </c>
      <c r="O14" s="18" t="n">
        <f aca="false">J14*(1+Assumptions!E12)</f>
        <v>34427.68</v>
      </c>
      <c r="P14" s="18" t="n">
        <f aca="false">K14*(1+Assumptions!F12)</f>
        <v>36064</v>
      </c>
      <c r="Q14" s="17" t="n">
        <f aca="false">SUM(M14:P14)</f>
        <v>138799.36</v>
      </c>
      <c r="R14" s="18" t="n">
        <f aca="false">M14*(1+Assumptions!G12)</f>
        <v>37312.1616</v>
      </c>
      <c r="S14" s="18" t="n">
        <f aca="false">N14*(1+Assumptions!H12)</f>
        <v>38509.3632</v>
      </c>
      <c r="T14" s="18" t="n">
        <f aca="false">O14*(1+Assumptions!I12)</f>
        <v>38214.7248</v>
      </c>
      <c r="U14" s="18" t="n">
        <f aca="false">P14*(1+Assumptions!J12)</f>
        <v>40031.04</v>
      </c>
      <c r="V14" s="17" t="n">
        <f aca="false">SUM(R14:U14)</f>
        <v>154067.2896</v>
      </c>
    </row>
    <row r="15" customFormat="false" ht="15" hidden="false" customHeight="false" outlineLevel="0" collapsed="false">
      <c r="A15" s="19" t="s">
        <v>52</v>
      </c>
      <c r="B15" s="20" t="n">
        <f aca="false">B13+B14</f>
        <v>391035</v>
      </c>
      <c r="C15" s="20" t="n">
        <f aca="false">C13+C14</f>
        <v>124300</v>
      </c>
      <c r="D15" s="20" t="n">
        <f aca="false">D13+D14</f>
        <v>95359</v>
      </c>
      <c r="E15" s="20" t="n">
        <f aca="false">E13+E14</f>
        <v>94036</v>
      </c>
      <c r="F15" s="20" t="n">
        <f aca="false">F13+F14</f>
        <v>102466</v>
      </c>
      <c r="G15" s="20" t="n">
        <f aca="false">G13+G14</f>
        <v>416161</v>
      </c>
      <c r="H15" s="20" t="n">
        <f aca="false">H13+H14</f>
        <v>143756</v>
      </c>
      <c r="I15" s="20" t="n">
        <f aca="false">I13+I14</f>
        <v>111184</v>
      </c>
      <c r="J15" s="20" t="n">
        <f aca="false">J13+J14</f>
        <v>109417</v>
      </c>
      <c r="K15" s="20" t="n">
        <f aca="false">K13+K14</f>
        <v>112867.46</v>
      </c>
      <c r="L15" s="20" t="n">
        <f aca="false">L13+L14</f>
        <v>477224.46</v>
      </c>
      <c r="M15" s="20" t="n">
        <f aca="false">M13+M14</f>
        <v>155286.97</v>
      </c>
      <c r="N15" s="20" t="n">
        <f aca="false">N13+N14</f>
        <v>120394.18</v>
      </c>
      <c r="O15" s="20" t="n">
        <f aca="false">O13+O14</f>
        <v>118447.57</v>
      </c>
      <c r="P15" s="20" t="n">
        <f aca="false">P13+P14</f>
        <v>122173.8075</v>
      </c>
      <c r="Q15" s="20" t="n">
        <f aca="false">Q13+Q14</f>
        <v>516302.5275</v>
      </c>
      <c r="R15" s="20" t="n">
        <f aca="false">R13+R14</f>
        <v>165662.9535</v>
      </c>
      <c r="S15" s="20" t="n">
        <f aca="false">S13+S14</f>
        <v>128876.3452</v>
      </c>
      <c r="T15" s="20" t="n">
        <f aca="false">T13+T14</f>
        <v>126794.7547</v>
      </c>
      <c r="U15" s="20" t="n">
        <f aca="false">U13+U14</f>
        <v>130783.367681</v>
      </c>
      <c r="V15" s="20" t="n">
        <f aca="false">V13+V14</f>
        <v>552117.421081</v>
      </c>
    </row>
    <row r="16" customFormat="false" ht="15" hidden="false" customHeight="false" outlineLevel="0" collapsed="false">
      <c r="A16" s="21" t="s">
        <v>53</v>
      </c>
      <c r="B16" s="22"/>
      <c r="C16" s="22"/>
      <c r="D16" s="22"/>
      <c r="E16" s="22"/>
      <c r="F16" s="22"/>
      <c r="G16" s="23" t="n">
        <f aca="false">IFERROR(G15/B15-1,"")</f>
        <v>0.0642551178283275</v>
      </c>
      <c r="H16" s="23" t="n">
        <f aca="false">IFERROR(H15/C15-1,"")</f>
        <v>0.156524537409493</v>
      </c>
      <c r="I16" s="23" t="n">
        <f aca="false">IFERROR(I15/D15-1,"")</f>
        <v>0.16595182415923</v>
      </c>
      <c r="J16" s="23" t="n">
        <f aca="false">IFERROR(J15/E15-1,"")</f>
        <v>0.163565017652814</v>
      </c>
      <c r="K16" s="23" t="n">
        <f aca="false">IFERROR(K15/F15-1,"")</f>
        <v>0.101511330587707</v>
      </c>
      <c r="L16" s="23" t="n">
        <f aca="false">IFERROR(L15/G15-1,"")</f>
        <v>0.146730375984294</v>
      </c>
      <c r="M16" s="23" t="n">
        <f aca="false">IFERROR(M15/H15-1,"")</f>
        <v>0.0802120954951446</v>
      </c>
      <c r="N16" s="23" t="n">
        <f aca="false">IFERROR(N15/I15-1,"")</f>
        <v>0.082837278745143</v>
      </c>
      <c r="O16" s="23" t="n">
        <f aca="false">IFERROR(O15/J15-1,"")</f>
        <v>0.0825335185574454</v>
      </c>
      <c r="P16" s="23" t="n">
        <f aca="false">IFERROR(P15/K15-1,"")</f>
        <v>0.0824537692263121</v>
      </c>
      <c r="Q16" s="23" t="n">
        <f aca="false">IFERROR(Q15/L15-1,"")</f>
        <v>0.0818861369762984</v>
      </c>
      <c r="R16" s="23" t="n">
        <f aca="false">IFERROR(R15/M15-1,"")</f>
        <v>0.0668181206703951</v>
      </c>
      <c r="S16" s="23" t="n">
        <f aca="false">IFERROR(S15/N15-1,"")</f>
        <v>0.0704532827085165</v>
      </c>
      <c r="T16" s="23" t="n">
        <f aca="false">IFERROR(T15/O15-1,"")</f>
        <v>0.0704715571623797</v>
      </c>
      <c r="U16" s="23" t="n">
        <f aca="false">IFERROR(U15/P15-1,"")</f>
        <v>0.0704697705439032</v>
      </c>
      <c r="V16" s="23" t="n">
        <f aca="false">IFERROR(V15/Q15-1,"")</f>
        <v>0.069368038452998</v>
      </c>
    </row>
    <row r="18" customFormat="false" ht="15" hidden="false" customHeight="false" outlineLevel="0" collapsed="false">
      <c r="A18" s="5" t="s">
        <v>54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customFormat="false" ht="15" hidden="false" customHeight="false" outlineLevel="0" collapsed="false">
      <c r="A19" s="7" t="s">
        <v>55</v>
      </c>
      <c r="B19" s="16" t="n">
        <v>185233</v>
      </c>
      <c r="C19" s="16" t="n">
        <v>59447</v>
      </c>
      <c r="D19" s="16" t="n">
        <v>44030</v>
      </c>
      <c r="E19" s="16" t="n">
        <v>43620</v>
      </c>
      <c r="F19" s="16" t="n">
        <v>47019</v>
      </c>
      <c r="G19" s="17" t="n">
        <f aca="false">SUM(C19:F19)</f>
        <v>194116</v>
      </c>
      <c r="H19" s="16" t="n">
        <v>67478</v>
      </c>
      <c r="I19" s="16" t="n">
        <v>49179</v>
      </c>
      <c r="J19" s="16" t="n">
        <v>47153</v>
      </c>
      <c r="K19" s="18" t="n">
        <f aca="false">K13*(1-Assumptions!B15)</f>
        <v>51223.8371</v>
      </c>
      <c r="L19" s="17" t="n">
        <f aca="false">SUM(H19:K19)</f>
        <v>215033.8371</v>
      </c>
      <c r="M19" s="18" t="n">
        <f aca="false">M13*(1-Assumptions!C15)</f>
        <v>75436.8942</v>
      </c>
      <c r="N19" s="18" t="n">
        <f aca="false">N13*(1-Assumptions!D15)</f>
        <v>53134.6572</v>
      </c>
      <c r="O19" s="18" t="n">
        <f aca="false">O13*(1-Assumptions!E15)</f>
        <v>52092.3318</v>
      </c>
      <c r="P19" s="18" t="n">
        <f aca="false">P13*(1-Assumptions!F15)</f>
        <v>53388.08065</v>
      </c>
      <c r="Q19" s="17" t="n">
        <f aca="false">SUM(M19:P19)</f>
        <v>234051.96385</v>
      </c>
      <c r="R19" s="18" t="n">
        <f aca="false">R13*(1-Assumptions!G15)</f>
        <v>78935.7370185</v>
      </c>
      <c r="S19" s="18" t="n">
        <f aca="false">S13*(1-Assumptions!H15)</f>
        <v>55575.69393</v>
      </c>
      <c r="T19" s="18" t="n">
        <f aca="false">T13*(1-Assumptions!I15)</f>
        <v>54476.7183885</v>
      </c>
      <c r="U19" s="18" t="n">
        <f aca="false">U13*(1-Assumptions!J15)</f>
        <v>55812.681523815</v>
      </c>
      <c r="V19" s="17" t="n">
        <f aca="false">SUM(R19:U19)</f>
        <v>244800.830860815</v>
      </c>
    </row>
    <row r="20" customFormat="false" ht="15" hidden="false" customHeight="false" outlineLevel="0" collapsed="false">
      <c r="A20" s="7" t="s">
        <v>56</v>
      </c>
      <c r="B20" s="16" t="n">
        <v>25119</v>
      </c>
      <c r="C20" s="16" t="n">
        <v>6578</v>
      </c>
      <c r="D20" s="16" t="n">
        <v>6462</v>
      </c>
      <c r="E20" s="16" t="n">
        <v>6698</v>
      </c>
      <c r="F20" s="16" t="n">
        <v>7106</v>
      </c>
      <c r="G20" s="17" t="n">
        <f aca="false">SUM(C20:F20)</f>
        <v>26844</v>
      </c>
      <c r="H20" s="16" t="n">
        <v>7047</v>
      </c>
      <c r="I20" s="16" t="n">
        <v>7224</v>
      </c>
      <c r="J20" s="16" t="n">
        <v>7494</v>
      </c>
      <c r="K20" s="18" t="n">
        <f aca="false">K14*(1-Assumptions!B16)</f>
        <v>7889</v>
      </c>
      <c r="L20" s="17" t="n">
        <f aca="false">SUM(H20:K20)</f>
        <v>29654</v>
      </c>
      <c r="M20" s="18" t="n">
        <f aca="false">M14*(1-Assumptions!C16)</f>
        <v>8067.4944</v>
      </c>
      <c r="N20" s="18" t="n">
        <f aca="false">N14*(1-Assumptions!D16)</f>
        <v>8326.3488</v>
      </c>
      <c r="O20" s="18" t="n">
        <f aca="false">O14*(1-Assumptions!E16)</f>
        <v>8262.6432</v>
      </c>
      <c r="P20" s="18" t="n">
        <f aca="false">P14*(1-Assumptions!F16)</f>
        <v>8655.36</v>
      </c>
      <c r="Q20" s="17" t="n">
        <f aca="false">SUM(M20:P20)</f>
        <v>33311.8464</v>
      </c>
      <c r="R20" s="18" t="n">
        <f aca="false">R14*(1-Assumptions!G16)</f>
        <v>8768.357976</v>
      </c>
      <c r="S20" s="18" t="n">
        <f aca="false">S14*(1-Assumptions!H16)</f>
        <v>9049.700352</v>
      </c>
      <c r="T20" s="18" t="n">
        <f aca="false">T14*(1-Assumptions!I16)</f>
        <v>8980.460328</v>
      </c>
      <c r="U20" s="18" t="n">
        <f aca="false">U14*(1-Assumptions!J16)</f>
        <v>9407.2944</v>
      </c>
      <c r="V20" s="17" t="n">
        <f aca="false">SUM(R20:U20)</f>
        <v>36205.813056</v>
      </c>
    </row>
    <row r="21" customFormat="false" ht="15" hidden="false" customHeight="false" outlineLevel="0" collapsed="false">
      <c r="A21" s="19" t="s">
        <v>57</v>
      </c>
      <c r="B21" s="20" t="n">
        <f aca="false">B19+B20</f>
        <v>210352</v>
      </c>
      <c r="C21" s="20" t="n">
        <f aca="false">C19+C20</f>
        <v>66025</v>
      </c>
      <c r="D21" s="20" t="n">
        <f aca="false">D19+D20</f>
        <v>50492</v>
      </c>
      <c r="E21" s="20" t="n">
        <f aca="false">E19+E20</f>
        <v>50318</v>
      </c>
      <c r="F21" s="20" t="n">
        <f aca="false">F19+F20</f>
        <v>54125</v>
      </c>
      <c r="G21" s="20" t="n">
        <f aca="false">G19+G20</f>
        <v>220960</v>
      </c>
      <c r="H21" s="20" t="n">
        <f aca="false">H19+H20</f>
        <v>74525</v>
      </c>
      <c r="I21" s="20" t="n">
        <f aca="false">I19+I20</f>
        <v>56403</v>
      </c>
      <c r="J21" s="20" t="n">
        <f aca="false">J19+J20</f>
        <v>54647</v>
      </c>
      <c r="K21" s="20" t="n">
        <f aca="false">K19+K20</f>
        <v>59112.8371</v>
      </c>
      <c r="L21" s="20" t="n">
        <f aca="false">L19+L20</f>
        <v>244687.8371</v>
      </c>
      <c r="M21" s="20" t="n">
        <f aca="false">M19+M20</f>
        <v>83504.3886</v>
      </c>
      <c r="N21" s="20" t="n">
        <f aca="false">N19+N20</f>
        <v>61461.006</v>
      </c>
      <c r="O21" s="20" t="n">
        <f aca="false">O19+O20</f>
        <v>60354.975</v>
      </c>
      <c r="P21" s="20" t="n">
        <f aca="false">P19+P20</f>
        <v>62043.44065</v>
      </c>
      <c r="Q21" s="20" t="n">
        <f aca="false">Q19+Q20</f>
        <v>267363.81025</v>
      </c>
      <c r="R21" s="20" t="n">
        <f aca="false">R19+R20</f>
        <v>87704.0949945</v>
      </c>
      <c r="S21" s="20" t="n">
        <f aca="false">S19+S20</f>
        <v>64625.394282</v>
      </c>
      <c r="T21" s="20" t="n">
        <f aca="false">T19+T20</f>
        <v>63457.1787165</v>
      </c>
      <c r="U21" s="20" t="n">
        <f aca="false">U19+U20</f>
        <v>65219.975923815</v>
      </c>
      <c r="V21" s="20" t="n">
        <f aca="false">V19+V20</f>
        <v>281006.643916815</v>
      </c>
    </row>
    <row r="23" customFormat="false" ht="15" hidden="false" customHeight="false" outlineLevel="0" collapsed="false">
      <c r="A23" s="19" t="s">
        <v>58</v>
      </c>
      <c r="B23" s="20" t="n">
        <f aca="false">B15-B21</f>
        <v>180683</v>
      </c>
      <c r="C23" s="20" t="n">
        <f aca="false">C15-C21</f>
        <v>58275</v>
      </c>
      <c r="D23" s="20" t="n">
        <f aca="false">D15-D21</f>
        <v>44867</v>
      </c>
      <c r="E23" s="20" t="n">
        <f aca="false">E15-E21</f>
        <v>43718</v>
      </c>
      <c r="F23" s="20" t="n">
        <f aca="false">F15-F21</f>
        <v>48341</v>
      </c>
      <c r="G23" s="20" t="n">
        <f aca="false">G15-G21</f>
        <v>195201</v>
      </c>
      <c r="H23" s="20" t="n">
        <f aca="false">H15-H21</f>
        <v>69231</v>
      </c>
      <c r="I23" s="20" t="n">
        <f aca="false">I15-I21</f>
        <v>54781</v>
      </c>
      <c r="J23" s="20" t="n">
        <f aca="false">J15-J21</f>
        <v>54770</v>
      </c>
      <c r="K23" s="20" t="n">
        <f aca="false">K15-K21</f>
        <v>53754.6229</v>
      </c>
      <c r="L23" s="20" t="n">
        <f aca="false">L15-L21</f>
        <v>232536.6229</v>
      </c>
      <c r="M23" s="20" t="n">
        <f aca="false">M15-M21</f>
        <v>71782.5814</v>
      </c>
      <c r="N23" s="20" t="n">
        <f aca="false">N15-N21</f>
        <v>58933.174</v>
      </c>
      <c r="O23" s="20" t="n">
        <f aca="false">O15-O21</f>
        <v>58092.595</v>
      </c>
      <c r="P23" s="20" t="n">
        <f aca="false">P15-P21</f>
        <v>60130.36685</v>
      </c>
      <c r="Q23" s="20" t="n">
        <f aca="false">Q15-Q21</f>
        <v>248938.71725</v>
      </c>
      <c r="R23" s="20" t="n">
        <f aca="false">R15-R21</f>
        <v>77958.8585055</v>
      </c>
      <c r="S23" s="20" t="n">
        <f aca="false">S15-S21</f>
        <v>64250.950918</v>
      </c>
      <c r="T23" s="20" t="n">
        <f aca="false">T15-T21</f>
        <v>63337.5759835</v>
      </c>
      <c r="U23" s="20" t="n">
        <f aca="false">U15-U21</f>
        <v>65563.391757185</v>
      </c>
      <c r="V23" s="20" t="n">
        <f aca="false">V15-V21</f>
        <v>271110.777164185</v>
      </c>
    </row>
    <row r="24" customFormat="false" ht="15" hidden="false" customHeight="false" outlineLevel="0" collapsed="false">
      <c r="A24" s="21" t="s">
        <v>59</v>
      </c>
      <c r="B24" s="24" t="n">
        <f aca="false">IFERROR((B13-B19)/B13,"")</f>
        <v>0.371806176364857</v>
      </c>
      <c r="C24" s="24" t="n">
        <f aca="false">IFERROR((C13-C19)/C13,"")</f>
        <v>0.393150265414455</v>
      </c>
      <c r="D24" s="24" t="n">
        <f aca="false">IFERROR((D13-D19)/D13,"")</f>
        <v>0.359228104898565</v>
      </c>
      <c r="E24" s="24" t="n">
        <f aca="false">IFERROR((E13-E19)/E13,"")</f>
        <v>0.345172864155645</v>
      </c>
      <c r="F24" s="24" t="n">
        <f aca="false">IFERROR((F13-F19)/F13,"")</f>
        <v>0.362160182321341</v>
      </c>
      <c r="G24" s="24" t="n">
        <f aca="false">IFERROR((G13-G19)/G13,"")</f>
        <v>0.367706504496699</v>
      </c>
      <c r="H24" s="24" t="n">
        <f aca="false">IFERROR((H13-H19)/H13,"")</f>
        <v>0.406750305513306</v>
      </c>
      <c r="I24" s="24" t="n">
        <f aca="false">IFERROR((I13-I19)/I13,"")</f>
        <v>0.386856672651107</v>
      </c>
      <c r="J24" s="24" t="n">
        <f aca="false">IFERROR((J13-J19)/J13,"")</f>
        <v>0.400683799791555</v>
      </c>
      <c r="K24" s="24" t="n">
        <f aca="false">IFERROR((K13-K19)/K13,"")</f>
        <v>0.365</v>
      </c>
      <c r="L24" s="24" t="n">
        <f aca="false">IFERROR((L13-L19)/L13,"")</f>
        <v>0.39135015080536</v>
      </c>
      <c r="M24" s="24" t="n">
        <f aca="false">IFERROR((M13-M19)/M13,"")</f>
        <v>0.38</v>
      </c>
      <c r="N24" s="24" t="n">
        <f aca="false">IFERROR((N13-N19)/N13,"")</f>
        <v>0.38</v>
      </c>
      <c r="O24" s="24" t="n">
        <f aca="false">IFERROR((O13-O19)/O13,"")</f>
        <v>0.38</v>
      </c>
      <c r="P24" s="24" t="n">
        <f aca="false">IFERROR((P13-P19)/P13,"")</f>
        <v>0.38</v>
      </c>
      <c r="Q24" s="24" t="n">
        <f aca="false">IFERROR((Q13-Q19)/Q13,"")</f>
        <v>0.38</v>
      </c>
      <c r="R24" s="24" t="n">
        <f aca="false">IFERROR((R13-R19)/R13,"")</f>
        <v>0.385</v>
      </c>
      <c r="S24" s="24" t="n">
        <f aca="false">IFERROR((S13-S19)/S13,"")</f>
        <v>0.385</v>
      </c>
      <c r="T24" s="24" t="n">
        <f aca="false">IFERROR((T13-T19)/T13,"")</f>
        <v>0.385</v>
      </c>
      <c r="U24" s="24" t="n">
        <f aca="false">IFERROR((U13-U19)/U13,"")</f>
        <v>0.385</v>
      </c>
      <c r="V24" s="24" t="n">
        <f aca="false">IFERROR((V13-V19)/V13,"")</f>
        <v>0.385</v>
      </c>
    </row>
    <row r="25" customFormat="false" ht="15" hidden="false" customHeight="false" outlineLevel="0" collapsed="false">
      <c r="A25" s="21" t="s">
        <v>60</v>
      </c>
      <c r="B25" s="24" t="n">
        <f aca="false">IFERROR((B14-B20)/B14,"")</f>
        <v>0.738803564558226</v>
      </c>
      <c r="C25" s="24" t="n">
        <f aca="false">IFERROR((C14-C20)/C14,"")</f>
        <v>0.750265755504936</v>
      </c>
      <c r="D25" s="24" t="n">
        <f aca="false">IFERROR((D14-D20)/D14,"")</f>
        <v>0.757477950835053</v>
      </c>
      <c r="E25" s="24" t="n">
        <f aca="false">IFERROR((E14-E20)/E14,"")</f>
        <v>0.755752470553915</v>
      </c>
      <c r="F25" s="24" t="n">
        <f aca="false">IFERROR((F14-F20)/F14,"")</f>
        <v>0.752834782608696</v>
      </c>
      <c r="G25" s="24" t="n">
        <f aca="false">IFERROR((G14-G20)/G14,"")</f>
        <v>0.754081240037377</v>
      </c>
      <c r="H25" s="24" t="n">
        <f aca="false">IFERROR((H14-H20)/H14,"")</f>
        <v>0.765201745910106</v>
      </c>
      <c r="I25" s="24" t="n">
        <f aca="false">IFERROR((I14-I20)/I14,"")</f>
        <v>0.766787190082645</v>
      </c>
      <c r="J25" s="24" t="n">
        <f aca="false">IFERROR((J14-J20)/J14,"")</f>
        <v>0.756205471876118</v>
      </c>
      <c r="K25" s="24" t="n">
        <f aca="false">IFERROR((K14-K20)/K14,"")</f>
        <v>0.755</v>
      </c>
      <c r="L25" s="24" t="n">
        <f aca="false">IFERROR((L14-L20)/L14,"")</f>
        <v>0.76071589955458</v>
      </c>
      <c r="M25" s="24" t="n">
        <f aca="false">IFERROR((M14-M20)/M14,"")</f>
        <v>0.76</v>
      </c>
      <c r="N25" s="24" t="n">
        <f aca="false">IFERROR((N14-N20)/N14,"")</f>
        <v>0.76</v>
      </c>
      <c r="O25" s="24" t="n">
        <f aca="false">IFERROR((O14-O20)/O14,"")</f>
        <v>0.76</v>
      </c>
      <c r="P25" s="24" t="n">
        <f aca="false">IFERROR((P14-P20)/P14,"")</f>
        <v>0.76</v>
      </c>
      <c r="Q25" s="24" t="n">
        <f aca="false">IFERROR((Q14-Q20)/Q14,"")</f>
        <v>0.76</v>
      </c>
      <c r="R25" s="24" t="n">
        <f aca="false">IFERROR((R14-R20)/R14,"")</f>
        <v>0.765</v>
      </c>
      <c r="S25" s="24" t="n">
        <f aca="false">IFERROR((S14-S20)/S14,"")</f>
        <v>0.765</v>
      </c>
      <c r="T25" s="24" t="n">
        <f aca="false">IFERROR((T14-T20)/T14,"")</f>
        <v>0.765</v>
      </c>
      <c r="U25" s="24" t="n">
        <f aca="false">IFERROR((U14-U20)/U14,"")</f>
        <v>0.765</v>
      </c>
      <c r="V25" s="24" t="n">
        <f aca="false">IFERROR((V14-V20)/V14,"")</f>
        <v>0.765</v>
      </c>
    </row>
    <row r="26" customFormat="false" ht="15" hidden="false" customHeight="false" outlineLevel="0" collapsed="false">
      <c r="A26" s="21" t="s">
        <v>61</v>
      </c>
      <c r="B26" s="24" t="n">
        <f aca="false">IFERROR(B23/B15,"")</f>
        <v>0.462063498152339</v>
      </c>
      <c r="C26" s="24" t="n">
        <f aca="false">IFERROR(C23/C15,"")</f>
        <v>0.468825422365245</v>
      </c>
      <c r="D26" s="24" t="n">
        <f aca="false">IFERROR(D23/D15,"")</f>
        <v>0.470506192388762</v>
      </c>
      <c r="E26" s="24" t="n">
        <f aca="false">IFERROR(E23/E15,"")</f>
        <v>0.464907056871836</v>
      </c>
      <c r="F26" s="24" t="n">
        <f aca="false">IFERROR(F23/F15,"")</f>
        <v>0.471776003747585</v>
      </c>
      <c r="G26" s="24" t="n">
        <f aca="false">IFERROR(G23/G15,"")</f>
        <v>0.469051641071605</v>
      </c>
      <c r="H26" s="24" t="n">
        <f aca="false">IFERROR(H23/H15,"")</f>
        <v>0.481586855505162</v>
      </c>
      <c r="I26" s="24" t="n">
        <f aca="false">IFERROR(I23/I15,"")</f>
        <v>0.492705785005037</v>
      </c>
      <c r="J26" s="24" t="n">
        <f aca="false">IFERROR(J23/J15,"")</f>
        <v>0.500562069879452</v>
      </c>
      <c r="K26" s="24" t="n">
        <f aca="false">IFERROR(K23/K15,"")</f>
        <v>0.476263246289054</v>
      </c>
      <c r="L26" s="24" t="n">
        <f aca="false">IFERROR(L23/L15,"")</f>
        <v>0.487268869034919</v>
      </c>
      <c r="M26" s="24" t="n">
        <f aca="false">IFERROR(M23/M15,"")</f>
        <v>0.462257595727446</v>
      </c>
      <c r="N26" s="24" t="n">
        <f aca="false">IFERROR(N23/N15,"")</f>
        <v>0.489501851335339</v>
      </c>
      <c r="O26" s="24" t="n">
        <f aca="false">IFERROR(O23/O15,"")</f>
        <v>0.490449867397026</v>
      </c>
      <c r="P26" s="24" t="n">
        <f aca="false">IFERROR(P23/P15,"")</f>
        <v>0.492170687649233</v>
      </c>
      <c r="Q26" s="24" t="n">
        <f aca="false">IFERROR(Q23/Q15,"")</f>
        <v>0.482156689132226</v>
      </c>
      <c r="R26" s="24" t="n">
        <f aca="false">IFERROR(R23/R15,"")</f>
        <v>0.470587158193458</v>
      </c>
      <c r="S26" s="24" t="n">
        <f aca="false">IFERROR(S23/S15,"")</f>
        <v>0.498547276602937</v>
      </c>
      <c r="T26" s="24" t="n">
        <f aca="false">IFERROR(T23/T15,"")</f>
        <v>0.499528360880215</v>
      </c>
      <c r="U26" s="24" t="n">
        <f aca="false">IFERROR(U23/U15,"")</f>
        <v>0.501312918605245</v>
      </c>
      <c r="V26" s="24" t="n">
        <f aca="false">IFERROR(V23/V15,"")</f>
        <v>0.491038258914875</v>
      </c>
    </row>
    <row r="28" customFormat="false" ht="15" hidden="false" customHeight="false" outlineLevel="0" collapsed="false">
      <c r="A28" s="5" t="s">
        <v>62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customFormat="false" ht="15" hidden="false" customHeight="false" outlineLevel="0" collapsed="false">
      <c r="A29" s="7" t="s">
        <v>63</v>
      </c>
      <c r="B29" s="16" t="n">
        <v>31370</v>
      </c>
      <c r="C29" s="16" t="n">
        <v>8268</v>
      </c>
      <c r="D29" s="16" t="n">
        <v>8550</v>
      </c>
      <c r="E29" s="16" t="n">
        <v>8866</v>
      </c>
      <c r="F29" s="16" t="n">
        <v>8866</v>
      </c>
      <c r="G29" s="17" t="n">
        <f aca="false">SUM(C29:F29)</f>
        <v>34550</v>
      </c>
      <c r="H29" s="16" t="n">
        <v>10887</v>
      </c>
      <c r="I29" s="16" t="n">
        <v>11419</v>
      </c>
      <c r="J29" s="16" t="n">
        <v>11729</v>
      </c>
      <c r="K29" s="18" t="n">
        <f aca="false">F29*(1+Assumptions!B19)</f>
        <v>11525.8</v>
      </c>
      <c r="L29" s="17" t="n">
        <f aca="false">SUM(H29:K29)</f>
        <v>45560.8</v>
      </c>
      <c r="M29" s="18" t="n">
        <f aca="false">H29*(1+Assumptions!C19)</f>
        <v>12411.18</v>
      </c>
      <c r="N29" s="18" t="n">
        <f aca="false">I29*(1+Assumptions!D19)</f>
        <v>13017.66</v>
      </c>
      <c r="O29" s="18" t="n">
        <f aca="false">J29*(1+Assumptions!E19)</f>
        <v>13371.06</v>
      </c>
      <c r="P29" s="18" t="n">
        <f aca="false">K29*(1+Assumptions!F19)</f>
        <v>13139.412</v>
      </c>
      <c r="Q29" s="17" t="n">
        <f aca="false">SUM(M29:P29)</f>
        <v>51939.312</v>
      </c>
      <c r="R29" s="18" t="n">
        <f aca="false">M29*(1+Assumptions!G19)</f>
        <v>13528.1862</v>
      </c>
      <c r="S29" s="18" t="n">
        <f aca="false">N29*(1+Assumptions!H19)</f>
        <v>14189.2494</v>
      </c>
      <c r="T29" s="18" t="n">
        <f aca="false">O29*(1+Assumptions!I19)</f>
        <v>14574.4554</v>
      </c>
      <c r="U29" s="18" t="n">
        <f aca="false">P29*(1+Assumptions!J19)</f>
        <v>14321.95908</v>
      </c>
      <c r="V29" s="17" t="n">
        <f aca="false">SUM(R29:U29)</f>
        <v>56613.85008</v>
      </c>
    </row>
    <row r="30" customFormat="false" ht="15" hidden="false" customHeight="false" outlineLevel="0" collapsed="false">
      <c r="A30" s="7" t="s">
        <v>64</v>
      </c>
      <c r="B30" s="16" t="n">
        <v>26097</v>
      </c>
      <c r="C30" s="16" t="n">
        <v>7175</v>
      </c>
      <c r="D30" s="16" t="n">
        <v>6728</v>
      </c>
      <c r="E30" s="16" t="n">
        <v>6650</v>
      </c>
      <c r="F30" s="16" t="n">
        <v>7048</v>
      </c>
      <c r="G30" s="17" t="n">
        <f aca="false">SUM(C30:F30)</f>
        <v>27601</v>
      </c>
      <c r="H30" s="16" t="n">
        <v>7492</v>
      </c>
      <c r="I30" s="16" t="n">
        <v>7477</v>
      </c>
      <c r="J30" s="16" t="n">
        <v>7346</v>
      </c>
      <c r="K30" s="18" t="n">
        <f aca="false">F30*(1+Assumptions!B20)</f>
        <v>7682.32</v>
      </c>
      <c r="L30" s="17" t="n">
        <f aca="false">SUM(H30:K30)</f>
        <v>29997.32</v>
      </c>
      <c r="M30" s="18" t="n">
        <f aca="false">H30*(1+Assumptions!C20)</f>
        <v>8053.9</v>
      </c>
      <c r="N30" s="18" t="n">
        <f aca="false">I30*(1+Assumptions!D20)</f>
        <v>8037.775</v>
      </c>
      <c r="O30" s="18" t="n">
        <f aca="false">J30*(1+Assumptions!E20)</f>
        <v>7896.95</v>
      </c>
      <c r="P30" s="18" t="n">
        <f aca="false">K30*(1+Assumptions!F20)</f>
        <v>8258.494</v>
      </c>
      <c r="Q30" s="17" t="n">
        <f aca="false">SUM(M30:P30)</f>
        <v>32247.119</v>
      </c>
      <c r="R30" s="18" t="n">
        <f aca="false">M30*(1+Assumptions!G20)</f>
        <v>8577.4035</v>
      </c>
      <c r="S30" s="18" t="n">
        <f aca="false">N30*(1+Assumptions!H20)</f>
        <v>8560.230375</v>
      </c>
      <c r="T30" s="18" t="n">
        <f aca="false">O30*(1+Assumptions!I20)</f>
        <v>8410.25175</v>
      </c>
      <c r="U30" s="18" t="n">
        <f aca="false">P30*(1+Assumptions!J20)</f>
        <v>8795.29611</v>
      </c>
      <c r="V30" s="17" t="n">
        <f aca="false">SUM(R30:U30)</f>
        <v>34343.181735</v>
      </c>
    </row>
    <row r="31" customFormat="false" ht="15" hidden="false" customHeight="false" outlineLevel="0" collapsed="false">
      <c r="A31" s="19" t="s">
        <v>65</v>
      </c>
      <c r="B31" s="20" t="n">
        <f aca="false">B29+B30</f>
        <v>57467</v>
      </c>
      <c r="C31" s="20" t="n">
        <f aca="false">C29+C30</f>
        <v>15443</v>
      </c>
      <c r="D31" s="20" t="n">
        <f aca="false">D29+D30</f>
        <v>15278</v>
      </c>
      <c r="E31" s="20" t="n">
        <f aca="false">E29+E30</f>
        <v>15516</v>
      </c>
      <c r="F31" s="20" t="n">
        <f aca="false">F29+F30</f>
        <v>15914</v>
      </c>
      <c r="G31" s="20" t="n">
        <f aca="false">G29+G30</f>
        <v>62151</v>
      </c>
      <c r="H31" s="20" t="n">
        <f aca="false">H29+H30</f>
        <v>18379</v>
      </c>
      <c r="I31" s="20" t="n">
        <f aca="false">I29+I30</f>
        <v>18896</v>
      </c>
      <c r="J31" s="20" t="n">
        <f aca="false">J29+J30</f>
        <v>19075</v>
      </c>
      <c r="K31" s="20" t="n">
        <f aca="false">K29+K30</f>
        <v>19208.12</v>
      </c>
      <c r="L31" s="20" t="n">
        <f aca="false">L29+L30</f>
        <v>75558.12</v>
      </c>
      <c r="M31" s="20" t="n">
        <f aca="false">M29+M30</f>
        <v>20465.08</v>
      </c>
      <c r="N31" s="20" t="n">
        <f aca="false">N29+N30</f>
        <v>21055.435</v>
      </c>
      <c r="O31" s="20" t="n">
        <f aca="false">O29+O30</f>
        <v>21268.01</v>
      </c>
      <c r="P31" s="20" t="n">
        <f aca="false">P29+P30</f>
        <v>21397.906</v>
      </c>
      <c r="Q31" s="20" t="n">
        <f aca="false">Q29+Q30</f>
        <v>84186.431</v>
      </c>
      <c r="R31" s="20" t="n">
        <f aca="false">R29+R30</f>
        <v>22105.5897</v>
      </c>
      <c r="S31" s="20" t="n">
        <f aca="false">S29+S30</f>
        <v>22749.479775</v>
      </c>
      <c r="T31" s="20" t="n">
        <f aca="false">T29+T30</f>
        <v>22984.70715</v>
      </c>
      <c r="U31" s="20" t="n">
        <f aca="false">U29+U30</f>
        <v>23117.25519</v>
      </c>
      <c r="V31" s="20" t="n">
        <f aca="false">V29+V30</f>
        <v>90957.031815</v>
      </c>
    </row>
    <row r="33" customFormat="false" ht="15" hidden="false" customHeight="false" outlineLevel="0" collapsed="false">
      <c r="A33" s="19" t="s">
        <v>66</v>
      </c>
      <c r="B33" s="20" t="n">
        <f aca="false">B23-B31</f>
        <v>123216</v>
      </c>
      <c r="C33" s="20" t="n">
        <f aca="false">C23-C31</f>
        <v>42832</v>
      </c>
      <c r="D33" s="20" t="n">
        <f aca="false">D23-D31</f>
        <v>29589</v>
      </c>
      <c r="E33" s="20" t="n">
        <f aca="false">E23-E31</f>
        <v>28202</v>
      </c>
      <c r="F33" s="20" t="n">
        <f aca="false">F23-F31</f>
        <v>32427</v>
      </c>
      <c r="G33" s="20" t="n">
        <f aca="false">G23-G31</f>
        <v>133050</v>
      </c>
      <c r="H33" s="20" t="n">
        <f aca="false">H23-H31</f>
        <v>50852</v>
      </c>
      <c r="I33" s="20" t="n">
        <f aca="false">I23-I31</f>
        <v>35885</v>
      </c>
      <c r="J33" s="20" t="n">
        <f aca="false">J23-J31</f>
        <v>35695</v>
      </c>
      <c r="K33" s="20" t="n">
        <f aca="false">K23-K31</f>
        <v>34546.5029</v>
      </c>
      <c r="L33" s="20" t="n">
        <f aca="false">L23-L31</f>
        <v>156978.5029</v>
      </c>
      <c r="M33" s="20" t="n">
        <f aca="false">M23-M31</f>
        <v>51317.5014</v>
      </c>
      <c r="N33" s="20" t="n">
        <f aca="false">N23-N31</f>
        <v>37877.739</v>
      </c>
      <c r="O33" s="20" t="n">
        <f aca="false">O23-O31</f>
        <v>36824.585</v>
      </c>
      <c r="P33" s="20" t="n">
        <f aca="false">P23-P31</f>
        <v>38732.46085</v>
      </c>
      <c r="Q33" s="20" t="n">
        <f aca="false">Q23-Q31</f>
        <v>164752.28625</v>
      </c>
      <c r="R33" s="20" t="n">
        <f aca="false">R23-R31</f>
        <v>55853.2688055</v>
      </c>
      <c r="S33" s="20" t="n">
        <f aca="false">S23-S31</f>
        <v>41501.471143</v>
      </c>
      <c r="T33" s="20" t="n">
        <f aca="false">T23-T31</f>
        <v>40352.8688335</v>
      </c>
      <c r="U33" s="20" t="n">
        <f aca="false">U23-U31</f>
        <v>42446.136567185</v>
      </c>
      <c r="V33" s="20" t="n">
        <f aca="false">V23-V31</f>
        <v>180153.745349185</v>
      </c>
    </row>
    <row r="34" customFormat="false" ht="15" hidden="false" customHeight="false" outlineLevel="0" collapsed="false">
      <c r="A34" s="21" t="s">
        <v>67</v>
      </c>
      <c r="B34" s="24" t="n">
        <f aca="false">IFERROR(B33/B15,"")</f>
        <v>0.315102228700756</v>
      </c>
      <c r="C34" s="24" t="n">
        <f aca="false">IFERROR(C33/C15,"")</f>
        <v>0.344585679806919</v>
      </c>
      <c r="D34" s="24" t="n">
        <f aca="false">IFERROR(D33/D15,"")</f>
        <v>0.310290586100945</v>
      </c>
      <c r="E34" s="24" t="n">
        <f aca="false">IFERROR(E33/E15,"")</f>
        <v>0.299906418818325</v>
      </c>
      <c r="F34" s="24" t="n">
        <f aca="false">IFERROR(F33/F15,"")</f>
        <v>0.31646594968087</v>
      </c>
      <c r="G34" s="24" t="n">
        <f aca="false">IFERROR(G33/G15,"")</f>
        <v>0.319707997625919</v>
      </c>
      <c r="H34" s="24" t="n">
        <f aca="false">IFERROR(H33/H15,"")</f>
        <v>0.353738278750104</v>
      </c>
      <c r="I34" s="24" t="n">
        <f aca="false">IFERROR(I33/I15,"")</f>
        <v>0.322753273852353</v>
      </c>
      <c r="J34" s="24" t="n">
        <f aca="false">IFERROR(J33/J15,"")</f>
        <v>0.326229013772997</v>
      </c>
      <c r="K34" s="24" t="n">
        <f aca="false">IFERROR(K33/K15,"")</f>
        <v>0.306080272383201</v>
      </c>
      <c r="L34" s="24" t="n">
        <f aca="false">IFERROR(L33/L15,"")</f>
        <v>0.328940605642888</v>
      </c>
      <c r="M34" s="24" t="n">
        <f aca="false">IFERROR(M33/M15,"")</f>
        <v>0.330468817828051</v>
      </c>
      <c r="N34" s="24" t="n">
        <f aca="false">IFERROR(N33/N15,"")</f>
        <v>0.314614369232798</v>
      </c>
      <c r="O34" s="24" t="n">
        <f aca="false">IFERROR(O33/O15,"")</f>
        <v>0.310893545557752</v>
      </c>
      <c r="P34" s="24" t="n">
        <f aca="false">IFERROR(P33/P15,"")</f>
        <v>0.317027533499764</v>
      </c>
      <c r="Q34" s="24" t="n">
        <f aca="false">IFERROR(Q33/Q15,"")</f>
        <v>0.319100289994222</v>
      </c>
      <c r="R34" s="24" t="n">
        <f aca="false">IFERROR(R33/R15,"")</f>
        <v>0.337150024344459</v>
      </c>
      <c r="S34" s="24" t="n">
        <f aca="false">IFERROR(S33/S15,"")</f>
        <v>0.322025512739323</v>
      </c>
      <c r="T34" s="24" t="n">
        <f aca="false">IFERROR(T33/T15,"")</f>
        <v>0.318253455586361</v>
      </c>
      <c r="U34" s="24" t="n">
        <f aca="false">IFERROR(U33/U15,"")</f>
        <v>0.324553017098607</v>
      </c>
      <c r="V34" s="24" t="n">
        <f aca="false">IFERROR(V33/V15,"")</f>
        <v>0.326296071216987</v>
      </c>
    </row>
    <row r="36" customFormat="false" ht="15" hidden="false" customHeight="false" outlineLevel="0" collapsed="false">
      <c r="A36" s="7" t="s">
        <v>68</v>
      </c>
      <c r="B36" s="16" t="n">
        <v>269</v>
      </c>
      <c r="C36" s="16" t="n">
        <v>-248</v>
      </c>
      <c r="D36" s="16" t="n">
        <v>-279</v>
      </c>
      <c r="E36" s="16" t="n">
        <v>-171</v>
      </c>
      <c r="F36" s="16" t="n">
        <v>377</v>
      </c>
      <c r="G36" s="17" t="n">
        <f aca="false">SUM(C36:F36)</f>
        <v>-321</v>
      </c>
      <c r="H36" s="16" t="n">
        <v>150</v>
      </c>
      <c r="I36" s="16" t="n">
        <v>-52</v>
      </c>
      <c r="J36" s="16" t="n">
        <v>572</v>
      </c>
      <c r="K36" s="18" t="n">
        <f aca="false">Assumptions!B23</f>
        <v>200</v>
      </c>
      <c r="L36" s="17" t="n">
        <f aca="false">SUM(H36:K36)</f>
        <v>870</v>
      </c>
      <c r="M36" s="18" t="n">
        <f aca="false">Assumptions!C23</f>
        <v>200</v>
      </c>
      <c r="N36" s="18" t="n">
        <f aca="false">Assumptions!D23</f>
        <v>200</v>
      </c>
      <c r="O36" s="18" t="n">
        <f aca="false">Assumptions!E23</f>
        <v>200</v>
      </c>
      <c r="P36" s="18" t="n">
        <f aca="false">Assumptions!F23</f>
        <v>200</v>
      </c>
      <c r="Q36" s="17" t="n">
        <f aca="false">SUM(M36:P36)</f>
        <v>800</v>
      </c>
      <c r="R36" s="18" t="n">
        <f aca="false">Assumptions!G23</f>
        <v>225</v>
      </c>
      <c r="S36" s="18" t="n">
        <f aca="false">Assumptions!H23</f>
        <v>225</v>
      </c>
      <c r="T36" s="18" t="n">
        <f aca="false">Assumptions!I23</f>
        <v>225</v>
      </c>
      <c r="U36" s="18" t="n">
        <f aca="false">Assumptions!J23</f>
        <v>225</v>
      </c>
      <c r="V36" s="17" t="n">
        <f aca="false">SUM(R36:U36)</f>
        <v>900</v>
      </c>
    </row>
    <row r="37" customFormat="false" ht="15" hidden="false" customHeight="false" outlineLevel="0" collapsed="false">
      <c r="A37" s="19" t="s">
        <v>69</v>
      </c>
      <c r="B37" s="20" t="n">
        <f aca="false">B33+B36</f>
        <v>123485</v>
      </c>
      <c r="C37" s="20" t="n">
        <f aca="false">C33+C36</f>
        <v>42584</v>
      </c>
      <c r="D37" s="20" t="n">
        <f aca="false">D33+D36</f>
        <v>29310</v>
      </c>
      <c r="E37" s="20" t="n">
        <f aca="false">E33+E36</f>
        <v>28031</v>
      </c>
      <c r="F37" s="20" t="n">
        <f aca="false">F33+F36</f>
        <v>32804</v>
      </c>
      <c r="G37" s="20" t="n">
        <f aca="false">G33+G36</f>
        <v>132729</v>
      </c>
      <c r="H37" s="20" t="n">
        <f aca="false">H33+H36</f>
        <v>51002</v>
      </c>
      <c r="I37" s="20" t="n">
        <f aca="false">I33+I36</f>
        <v>35833</v>
      </c>
      <c r="J37" s="20" t="n">
        <f aca="false">J33+J36</f>
        <v>36267</v>
      </c>
      <c r="K37" s="20" t="n">
        <f aca="false">K33+K36</f>
        <v>34746.5029</v>
      </c>
      <c r="L37" s="20" t="n">
        <f aca="false">L33+L36</f>
        <v>157848.5029</v>
      </c>
      <c r="M37" s="20" t="n">
        <f aca="false">M33+M36</f>
        <v>51517.5014</v>
      </c>
      <c r="N37" s="20" t="n">
        <f aca="false">N33+N36</f>
        <v>38077.739</v>
      </c>
      <c r="O37" s="20" t="n">
        <f aca="false">O33+O36</f>
        <v>37024.585</v>
      </c>
      <c r="P37" s="20" t="n">
        <f aca="false">P33+P36</f>
        <v>38932.46085</v>
      </c>
      <c r="Q37" s="20" t="n">
        <f aca="false">Q33+Q36</f>
        <v>165552.28625</v>
      </c>
      <c r="R37" s="20" t="n">
        <f aca="false">R33+R36</f>
        <v>56078.2688055</v>
      </c>
      <c r="S37" s="20" t="n">
        <f aca="false">S33+S36</f>
        <v>41726.471143</v>
      </c>
      <c r="T37" s="20" t="n">
        <f aca="false">T33+T36</f>
        <v>40577.8688335</v>
      </c>
      <c r="U37" s="20" t="n">
        <f aca="false">U33+U36</f>
        <v>42671.136567185</v>
      </c>
      <c r="V37" s="20" t="n">
        <f aca="false">V33+V36</f>
        <v>181053.745349185</v>
      </c>
    </row>
    <row r="38" customFormat="false" ht="15" hidden="false" customHeight="false" outlineLevel="0" collapsed="false">
      <c r="A38" s="7" t="s">
        <v>70</v>
      </c>
      <c r="B38" s="16" t="n">
        <v>29749</v>
      </c>
      <c r="C38" s="16" t="n">
        <v>6254</v>
      </c>
      <c r="D38" s="16" t="n">
        <v>4530</v>
      </c>
      <c r="E38" s="16" t="n">
        <v>4597</v>
      </c>
      <c r="F38" s="16" t="n">
        <v>5338</v>
      </c>
      <c r="G38" s="17" t="n">
        <f aca="false">SUM(C38:F38)</f>
        <v>20719</v>
      </c>
      <c r="H38" s="16" t="n">
        <v>8905</v>
      </c>
      <c r="I38" s="16" t="n">
        <v>6255</v>
      </c>
      <c r="J38" s="16" t="n">
        <v>6478</v>
      </c>
      <c r="K38" s="18" t="n">
        <f aca="false">K37*Assumptions!B24</f>
        <v>6080.6380075</v>
      </c>
      <c r="L38" s="17" t="n">
        <f aca="false">SUM(H38:K38)</f>
        <v>27718.6380075</v>
      </c>
      <c r="M38" s="18" t="n">
        <f aca="false">M37*Assumptions!C24</f>
        <v>9015.562745</v>
      </c>
      <c r="N38" s="18" t="n">
        <f aca="false">N37*Assumptions!D24</f>
        <v>6663.604325</v>
      </c>
      <c r="O38" s="18" t="n">
        <f aca="false">O37*Assumptions!E24</f>
        <v>6479.302375</v>
      </c>
      <c r="P38" s="18" t="n">
        <f aca="false">P37*Assumptions!F24</f>
        <v>6813.18064875</v>
      </c>
      <c r="Q38" s="17" t="n">
        <f aca="false">SUM(M38:P38)</f>
        <v>28971.65009375</v>
      </c>
      <c r="R38" s="18" t="n">
        <f aca="false">R37*Assumptions!G24</f>
        <v>9813.6970409625</v>
      </c>
      <c r="S38" s="18" t="n">
        <f aca="false">S37*Assumptions!H24</f>
        <v>7302.132450025</v>
      </c>
      <c r="T38" s="18" t="n">
        <f aca="false">T37*Assumptions!I24</f>
        <v>7101.1270458625</v>
      </c>
      <c r="U38" s="18" t="n">
        <f aca="false">U37*Assumptions!J24</f>
        <v>7467.44889925738</v>
      </c>
      <c r="V38" s="17" t="n">
        <f aca="false">SUM(R38:U38)</f>
        <v>31684.4054361074</v>
      </c>
    </row>
    <row r="39" customFormat="false" ht="15" hidden="false" customHeight="false" outlineLevel="0" collapsed="false">
      <c r="A39" s="21" t="s">
        <v>71</v>
      </c>
      <c r="B39" s="24" t="n">
        <f aca="false">IFERROR(B38/B37,"")</f>
        <v>0.2409118516419</v>
      </c>
      <c r="C39" s="24" t="n">
        <f aca="false">IFERROR(C38/C37,"")</f>
        <v>0.146862671425888</v>
      </c>
      <c r="D39" s="24" t="n">
        <f aca="false">IFERROR(D38/D37,"")</f>
        <v>0.154554759467758</v>
      </c>
      <c r="E39" s="24" t="n">
        <f aca="false">IFERROR(E38/E37,"")</f>
        <v>0.163997003317755</v>
      </c>
      <c r="F39" s="24" t="n">
        <f aca="false">IFERROR(F38/F37,"")</f>
        <v>0.162724058041702</v>
      </c>
      <c r="G39" s="24" t="n">
        <f aca="false">IFERROR(G38/G37,"")</f>
        <v>0.15610002335586</v>
      </c>
      <c r="H39" s="24" t="n">
        <f aca="false">IFERROR(H38/H37,"")</f>
        <v>0.174600996039371</v>
      </c>
      <c r="I39" s="24" t="n">
        <f aca="false">IFERROR(I38/I37,"")</f>
        <v>0.174559763346636</v>
      </c>
      <c r="J39" s="24" t="n">
        <f aca="false">IFERROR(J38/J37,"")</f>
        <v>0.178619681804395</v>
      </c>
      <c r="K39" s="24" t="n">
        <f aca="false">IFERROR(K38/K37,"")</f>
        <v>0.175</v>
      </c>
      <c r="L39" s="24" t="n">
        <f aca="false">IFERROR(L38/L37,"")</f>
        <v>0.17560279317353</v>
      </c>
      <c r="M39" s="24" t="n">
        <f aca="false">IFERROR(M38/M37,"")</f>
        <v>0.175</v>
      </c>
      <c r="N39" s="24" t="n">
        <f aca="false">IFERROR(N38/N37,"")</f>
        <v>0.175</v>
      </c>
      <c r="O39" s="24" t="n">
        <f aca="false">IFERROR(O38/O37,"")</f>
        <v>0.175</v>
      </c>
      <c r="P39" s="24" t="n">
        <f aca="false">IFERROR(P38/P37,"")</f>
        <v>0.175</v>
      </c>
      <c r="Q39" s="24" t="n">
        <f aca="false">IFERROR(Q38/Q37,"")</f>
        <v>0.175</v>
      </c>
      <c r="R39" s="24" t="n">
        <f aca="false">IFERROR(R38/R37,"")</f>
        <v>0.175</v>
      </c>
      <c r="S39" s="24" t="n">
        <f aca="false">IFERROR(S38/S37,"")</f>
        <v>0.175</v>
      </c>
      <c r="T39" s="24" t="n">
        <f aca="false">IFERROR(T38/T37,"")</f>
        <v>0.175</v>
      </c>
      <c r="U39" s="24" t="n">
        <f aca="false">IFERROR(U38/U37,"")</f>
        <v>0.175</v>
      </c>
      <c r="V39" s="24" t="n">
        <f aca="false">IFERROR(V38/V37,"")</f>
        <v>0.175</v>
      </c>
    </row>
    <row r="40" customFormat="false" ht="15" hidden="false" customHeight="false" outlineLevel="0" collapsed="false">
      <c r="A40" s="19" t="s">
        <v>72</v>
      </c>
      <c r="B40" s="20" t="n">
        <f aca="false">B37-B38</f>
        <v>93736</v>
      </c>
      <c r="C40" s="20" t="n">
        <f aca="false">C37-C38</f>
        <v>36330</v>
      </c>
      <c r="D40" s="20" t="n">
        <f aca="false">D37-D38</f>
        <v>24780</v>
      </c>
      <c r="E40" s="20" t="n">
        <f aca="false">E37-E38</f>
        <v>23434</v>
      </c>
      <c r="F40" s="20" t="n">
        <f aca="false">F37-F38</f>
        <v>27466</v>
      </c>
      <c r="G40" s="20" t="n">
        <f aca="false">G37-G38</f>
        <v>112010</v>
      </c>
      <c r="H40" s="20" t="n">
        <f aca="false">H37-H38</f>
        <v>42097</v>
      </c>
      <c r="I40" s="20" t="n">
        <f aca="false">I37-I38</f>
        <v>29578</v>
      </c>
      <c r="J40" s="20" t="n">
        <f aca="false">J37-J38</f>
        <v>29789</v>
      </c>
      <c r="K40" s="20" t="n">
        <f aca="false">K37-K38</f>
        <v>28665.8648925</v>
      </c>
      <c r="L40" s="20" t="n">
        <f aca="false">L37-L38</f>
        <v>130129.8648925</v>
      </c>
      <c r="M40" s="20" t="n">
        <f aca="false">M37-M38</f>
        <v>42501.938655</v>
      </c>
      <c r="N40" s="20" t="n">
        <f aca="false">N37-N38</f>
        <v>31414.134675</v>
      </c>
      <c r="O40" s="20" t="n">
        <f aca="false">O37-O38</f>
        <v>30545.282625</v>
      </c>
      <c r="P40" s="20" t="n">
        <f aca="false">P37-P38</f>
        <v>32119.28020125</v>
      </c>
      <c r="Q40" s="20" t="n">
        <f aca="false">Q37-Q38</f>
        <v>136580.63615625</v>
      </c>
      <c r="R40" s="20" t="n">
        <f aca="false">R37-R38</f>
        <v>46264.5717645375</v>
      </c>
      <c r="S40" s="20" t="n">
        <f aca="false">S37-S38</f>
        <v>34424.338692975</v>
      </c>
      <c r="T40" s="20" t="n">
        <f aca="false">T37-T38</f>
        <v>33476.7417876375</v>
      </c>
      <c r="U40" s="20" t="n">
        <f aca="false">U37-U38</f>
        <v>35203.6876679276</v>
      </c>
      <c r="V40" s="20" t="n">
        <f aca="false">V37-V38</f>
        <v>149369.339913078</v>
      </c>
    </row>
    <row r="41" customFormat="false" ht="15" hidden="false" customHeight="false" outlineLevel="0" collapsed="false">
      <c r="A41" s="21" t="s">
        <v>73</v>
      </c>
      <c r="B41" s="24" t="n">
        <f aca="false">IFERROR(B40/B15,"")</f>
        <v>0.239712557699439</v>
      </c>
      <c r="C41" s="24" t="n">
        <f aca="false">IFERROR(C40/C15,"")</f>
        <v>0.292276749798874</v>
      </c>
      <c r="D41" s="24" t="n">
        <f aca="false">IFERROR(D40/D15,"")</f>
        <v>0.25986010759341</v>
      </c>
      <c r="E41" s="24" t="n">
        <f aca="false">IFERROR(E40/E15,"")</f>
        <v>0.249202433110724</v>
      </c>
      <c r="F41" s="24" t="n">
        <f aca="false">IFERROR(F40/F15,"")</f>
        <v>0.268049889719517</v>
      </c>
      <c r="G41" s="24" t="n">
        <f aca="false">IFERROR(G40/G15,"")</f>
        <v>0.269150641218182</v>
      </c>
      <c r="H41" s="24" t="n">
        <f aca="false">IFERROR(H40/H15,"")</f>
        <v>0.292836472912435</v>
      </c>
      <c r="I41" s="24" t="n">
        <f aca="false">IFERROR(I40/I15,"")</f>
        <v>0.266027485969204</v>
      </c>
      <c r="J41" s="24" t="n">
        <f aca="false">IFERROR(J40/J15,"")</f>
        <v>0.272252026650338</v>
      </c>
      <c r="K41" s="24" t="n">
        <f aca="false">IFERROR(K40/K15,"")</f>
        <v>0.25397811638979</v>
      </c>
      <c r="L41" s="24" t="n">
        <f aca="false">IFERROR(L40/L15,"")</f>
        <v>0.272680626832288</v>
      </c>
      <c r="M41" s="24" t="n">
        <f aca="false">IFERROR(M40/M15,"")</f>
        <v>0.273699323613565</v>
      </c>
      <c r="N41" s="24" t="n">
        <f aca="false">IFERROR(N40/N15,"")</f>
        <v>0.260927352759078</v>
      </c>
      <c r="O41" s="24" t="n">
        <f aca="false">IFERROR(O40/O15,"")</f>
        <v>0.257880196486935</v>
      </c>
      <c r="P41" s="24" t="n">
        <f aca="false">IFERROR(P40/P15,"")</f>
        <v>0.262898250111834</v>
      </c>
      <c r="Q41" s="24" t="n">
        <f aca="false">IFERROR(Q40/Q15,"")</f>
        <v>0.264536059541661</v>
      </c>
      <c r="R41" s="24" t="n">
        <f aca="false">IFERROR(R40/R15,"")</f>
        <v>0.27926926803546</v>
      </c>
      <c r="S41" s="24" t="n">
        <f aca="false">IFERROR(S40/S15,"")</f>
        <v>0.267111382151261</v>
      </c>
      <c r="T41" s="24" t="n">
        <f aca="false">IFERROR(T40/T15,"")</f>
        <v>0.264023080977162</v>
      </c>
      <c r="U41" s="24" t="n">
        <f aca="false">IFERROR(U40/U15,"")</f>
        <v>0.269175570962469</v>
      </c>
      <c r="V41" s="24" t="n">
        <f aca="false">IFERROR(V40/V15,"")</f>
        <v>0.270539081379872</v>
      </c>
    </row>
    <row r="43" customFormat="false" ht="15" hidden="false" customHeight="false" outlineLevel="0" collapsed="false">
      <c r="A43" s="5" t="s">
        <v>74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customFormat="false" ht="15" hidden="false" customHeight="false" outlineLevel="0" collapsed="false">
      <c r="A44" s="7" t="s">
        <v>75</v>
      </c>
      <c r="B44" s="16" t="n">
        <v>15408095</v>
      </c>
      <c r="C44" s="16" t="n">
        <v>15150865</v>
      </c>
      <c r="D44" s="16" t="n">
        <v>15056133</v>
      </c>
      <c r="E44" s="16" t="n">
        <v>14948179</v>
      </c>
      <c r="F44" s="16" t="n">
        <v>14863609</v>
      </c>
      <c r="G44" s="17" t="n">
        <f aca="false">AVERAGE(C44:F44)</f>
        <v>15004696.5</v>
      </c>
      <c r="H44" s="16" t="n">
        <v>14810356</v>
      </c>
      <c r="I44" s="16" t="n">
        <v>14725873</v>
      </c>
      <c r="J44" s="16" t="n">
        <v>14714676</v>
      </c>
      <c r="K44" s="18" t="n">
        <f aca="false">J44*(1+Assumptions!B25)</f>
        <v>14663174.634</v>
      </c>
      <c r="L44" s="17" t="n">
        <f aca="false">AVERAGE(H44:K44)</f>
        <v>14728519.9085</v>
      </c>
      <c r="M44" s="18" t="n">
        <f aca="false">K44*(1+Assumptions!C25)</f>
        <v>14611853.522781</v>
      </c>
      <c r="N44" s="18" t="n">
        <f aca="false">M44*(1+Assumptions!D25)</f>
        <v>14560712.0354513</v>
      </c>
      <c r="O44" s="18" t="n">
        <f aca="false">N44*(1+Assumptions!E25)</f>
        <v>14509749.5433272</v>
      </c>
      <c r="P44" s="18" t="n">
        <f aca="false">O44*(1+Assumptions!F25)</f>
        <v>14458965.4199255</v>
      </c>
      <c r="Q44" s="17" t="n">
        <f aca="false">AVERAGE(M44:P44)</f>
        <v>14535320.1303713</v>
      </c>
      <c r="R44" s="18" t="n">
        <f aca="false">P44*(1+Assumptions!G25)</f>
        <v>14408359.0409558</v>
      </c>
      <c r="S44" s="18" t="n">
        <f aca="false">R44*(1+Assumptions!H25)</f>
        <v>14357929.7843125</v>
      </c>
      <c r="T44" s="18" t="n">
        <f aca="false">S44*(1+Assumptions!I25)</f>
        <v>14307677.0300674</v>
      </c>
      <c r="U44" s="18" t="n">
        <f aca="false">T44*(1+Assumptions!J25)</f>
        <v>14257600.1604621</v>
      </c>
      <c r="V44" s="17" t="n">
        <f aca="false">AVERAGE(R44:U44)</f>
        <v>14332891.5039494</v>
      </c>
    </row>
    <row r="45" customFormat="false" ht="15" hidden="false" customHeight="false" outlineLevel="0" collapsed="false">
      <c r="A45" s="7" t="s">
        <v>76</v>
      </c>
      <c r="B45" s="25" t="n">
        <f aca="false">IFERROR(B40*1000/B44,"")</f>
        <v>6.08355542979194</v>
      </c>
      <c r="C45" s="25" t="n">
        <f aca="false">IFERROR(C40*1000/C44,"")</f>
        <v>2.39788289315495</v>
      </c>
      <c r="D45" s="25" t="n">
        <f aca="false">IFERROR(D40*1000/D44,"")</f>
        <v>1.64584093405657</v>
      </c>
      <c r="E45" s="25" t="n">
        <f aca="false">IFERROR(E40*1000/E44,"")</f>
        <v>1.56768259197324</v>
      </c>
      <c r="F45" s="25" t="n">
        <f aca="false">IFERROR(F40*1000/F44,"")</f>
        <v>1.84786884531206</v>
      </c>
      <c r="G45" s="25" t="n">
        <f aca="false">IFERROR(G40*1000/G44,"")</f>
        <v>7.46499604307225</v>
      </c>
      <c r="H45" s="25" t="n">
        <f aca="false">IFERROR(H40*1000/H44,"")</f>
        <v>2.8424029780243</v>
      </c>
      <c r="I45" s="25" t="n">
        <f aca="false">IFERROR(I40*1000/I44,"")</f>
        <v>2.00857361733325</v>
      </c>
      <c r="J45" s="25" t="n">
        <f aca="false">IFERROR(J40*1000/J44,"")</f>
        <v>2.02444144879575</v>
      </c>
      <c r="K45" s="25" t="n">
        <f aca="false">IFERROR(K40*1000/K44,"")</f>
        <v>1.95495624978997</v>
      </c>
      <c r="L45" s="25" t="n">
        <f aca="false">IFERROR(L40*1000/L44,"")</f>
        <v>8.83523026759807</v>
      </c>
      <c r="M45" s="25" t="n">
        <f aca="false">IFERROR(M40*1000/M44,"")</f>
        <v>2.90873013397898</v>
      </c>
      <c r="N45" s="25" t="n">
        <f aca="false">IFERROR(N40*1000/N44,"")</f>
        <v>2.15745868735783</v>
      </c>
      <c r="O45" s="25" t="n">
        <f aca="false">IFERROR(O40*1000/O44,"")</f>
        <v>2.10515574605816</v>
      </c>
      <c r="P45" s="25" t="n">
        <f aca="false">IFERROR(P40*1000/P44,"")</f>
        <v>2.22140929647616</v>
      </c>
      <c r="Q45" s="25" t="n">
        <f aca="false">IFERROR(Q40*1000/Q44,"")</f>
        <v>9.39646563895538</v>
      </c>
      <c r="R45" s="25" t="n">
        <f aca="false">IFERROR(R40*1000/R44,"")</f>
        <v>3.21095356057066</v>
      </c>
      <c r="S45" s="25" t="n">
        <f aca="false">IFERROR(S40*1000/S44,"")</f>
        <v>2.3975837192481</v>
      </c>
      <c r="T45" s="25" t="n">
        <f aca="false">IFERROR(T40*1000/T44,"")</f>
        <v>2.33977477387046</v>
      </c>
      <c r="U45" s="25" t="n">
        <f aca="false">IFERROR(U40*1000/U44,"")</f>
        <v>2.46911733193018</v>
      </c>
      <c r="V45" s="25" t="n">
        <f aca="false">IFERROR(V40*1000/V44,"")</f>
        <v>10.4214379821349</v>
      </c>
    </row>
    <row r="46" customFormat="false" ht="15" hidden="false" customHeight="false" outlineLevel="0" collapsed="false">
      <c r="A46" s="7" t="s">
        <v>77</v>
      </c>
      <c r="B46" s="16" t="n">
        <v>15343783</v>
      </c>
      <c r="C46" s="16" t="n">
        <v>15081724</v>
      </c>
      <c r="D46" s="16" t="n">
        <v>14994082</v>
      </c>
      <c r="E46" s="16" t="n">
        <v>14902886</v>
      </c>
      <c r="F46" s="16" t="n">
        <v>14815307</v>
      </c>
      <c r="G46" s="17" t="n">
        <f aca="false">AVERAGE(C46:F46)</f>
        <v>14948499.75</v>
      </c>
      <c r="H46" s="16" t="n">
        <v>14748158</v>
      </c>
      <c r="I46" s="16" t="n">
        <v>14673278</v>
      </c>
      <c r="J46" s="16" t="n">
        <v>14656110</v>
      </c>
      <c r="K46" s="18" t="n">
        <f aca="false">K44*Assumptions!B26</f>
        <v>14604521.935464</v>
      </c>
      <c r="L46" s="17" t="n">
        <f aca="false">AVERAGE(H46:K46)</f>
        <v>14670516.983866</v>
      </c>
      <c r="M46" s="18" t="n">
        <f aca="false">M44*Assumptions!C26</f>
        <v>14553406.1086899</v>
      </c>
      <c r="N46" s="18" t="n">
        <f aca="false">N44*Assumptions!D26</f>
        <v>14502469.1873095</v>
      </c>
      <c r="O46" s="18" t="n">
        <f aca="false">O44*Assumptions!E26</f>
        <v>14451710.5451539</v>
      </c>
      <c r="P46" s="18" t="n">
        <f aca="false">P44*Assumptions!F26</f>
        <v>14401129.5582458</v>
      </c>
      <c r="Q46" s="17" t="n">
        <f aca="false">AVERAGE(M46:P46)</f>
        <v>14477178.8498498</v>
      </c>
      <c r="R46" s="18" t="n">
        <f aca="false">R44*Assumptions!G26</f>
        <v>14350725.604792</v>
      </c>
      <c r="S46" s="18" t="n">
        <f aca="false">S44*Assumptions!H26</f>
        <v>14300498.0651752</v>
      </c>
      <c r="T46" s="18" t="n">
        <f aca="false">T44*Assumptions!I26</f>
        <v>14250446.3219471</v>
      </c>
      <c r="U46" s="18" t="n">
        <f aca="false">U44*Assumptions!J26</f>
        <v>14200569.7598203</v>
      </c>
      <c r="V46" s="17" t="n">
        <f aca="false">AVERAGE(R46:U46)</f>
        <v>14275559.9379336</v>
      </c>
    </row>
    <row r="47" customFormat="false" ht="15" hidden="false" customHeight="false" outlineLevel="0" collapsed="false">
      <c r="A47" s="7" t="s">
        <v>78</v>
      </c>
      <c r="B47" s="25" t="n">
        <f aca="false">IFERROR(B40*1000/B46,"")</f>
        <v>6.10905407095499</v>
      </c>
      <c r="C47" s="25" t="n">
        <f aca="false">IFERROR(C40*1000/C46,"")</f>
        <v>2.40887580226239</v>
      </c>
      <c r="D47" s="25" t="n">
        <f aca="false">IFERROR(D40*1000/D46,"")</f>
        <v>1.65265202631278</v>
      </c>
      <c r="E47" s="25" t="n">
        <f aca="false">IFERROR(E40*1000/E46,"")</f>
        <v>1.57244710856676</v>
      </c>
      <c r="F47" s="25" t="n">
        <f aca="false">IFERROR(F40*1000/F46,"")</f>
        <v>1.85389340902622</v>
      </c>
      <c r="G47" s="25" t="n">
        <f aca="false">IFERROR(G40*1000/G46,"")</f>
        <v>7.49305962961266</v>
      </c>
      <c r="H47" s="25" t="n">
        <f aca="false">IFERROR(H40*1000/H46,"")</f>
        <v>2.85439035844341</v>
      </c>
      <c r="I47" s="25" t="n">
        <f aca="false">IFERROR(I40*1000/I46,"")</f>
        <v>2.01577316261574</v>
      </c>
      <c r="J47" s="25" t="n">
        <f aca="false">IFERROR(J40*1000/J46,"")</f>
        <v>2.03253114230174</v>
      </c>
      <c r="K47" s="25" t="n">
        <f aca="false">IFERROR(K40*1000/K46,"")</f>
        <v>1.9628074797088</v>
      </c>
      <c r="L47" s="25" t="n">
        <f aca="false">IFERROR(L40*1000/L46,"")</f>
        <v>8.87016217871607</v>
      </c>
      <c r="M47" s="25" t="n">
        <f aca="false">IFERROR(M40*1000/M46,"")</f>
        <v>2.92041178110339</v>
      </c>
      <c r="N47" s="25" t="n">
        <f aca="false">IFERROR(N40*1000/N46,"")</f>
        <v>2.16612318007814</v>
      </c>
      <c r="O47" s="25" t="n">
        <f aca="false">IFERROR(O40*1000/O46,"")</f>
        <v>2.11361018680538</v>
      </c>
      <c r="P47" s="25" t="n">
        <f aca="false">IFERROR(P40*1000/P46,"")</f>
        <v>2.23033061895197</v>
      </c>
      <c r="Q47" s="25" t="n">
        <f aca="false">IFERROR(Q40*1000/Q46,"")</f>
        <v>9.43420244875039</v>
      </c>
      <c r="R47" s="25" t="n">
        <f aca="false">IFERROR(R40*1000/R46,"")</f>
        <v>3.22384895639624</v>
      </c>
      <c r="S47" s="25" t="n">
        <f aca="false">IFERROR(S40*1000/S46,"")</f>
        <v>2.40721256952621</v>
      </c>
      <c r="T47" s="25" t="n">
        <f aca="false">IFERROR(T40*1000/T46,"")</f>
        <v>2.3491714597093</v>
      </c>
      <c r="U47" s="25" t="n">
        <f aca="false">IFERROR(U40*1000/U46,"")</f>
        <v>2.47903346579336</v>
      </c>
      <c r="V47" s="25" t="n">
        <f aca="false">IFERROR(V40*1000/V46,"")</f>
        <v>10.4632911467218</v>
      </c>
    </row>
  </sheetData>
  <mergeCells count="4">
    <mergeCell ref="C5:G5"/>
    <mergeCell ref="H5:L5"/>
    <mergeCell ref="M5:Q5"/>
    <mergeCell ref="R5:V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26" t="s">
        <v>79</v>
      </c>
    </row>
    <row r="2" customFormat="false" ht="15" hidden="false" customHeight="false" outlineLevel="0" collapsed="false">
      <c r="A2" s="27"/>
    </row>
    <row r="3" customFormat="false" ht="15" hidden="false" customHeight="false" outlineLevel="0" collapsed="false">
      <c r="A3" s="28" t="s">
        <v>80</v>
      </c>
    </row>
    <row r="4" customFormat="false" ht="15" hidden="false" customHeight="false" outlineLevel="0" collapsed="false">
      <c r="A4" s="27" t="s">
        <v>81</v>
      </c>
    </row>
    <row r="5" customFormat="false" ht="15" hidden="false" customHeight="false" outlineLevel="0" collapsed="false">
      <c r="A5" s="27" t="s">
        <v>82</v>
      </c>
    </row>
    <row r="6" customFormat="false" ht="15" hidden="false" customHeight="false" outlineLevel="0" collapsed="false">
      <c r="A6" s="27" t="s">
        <v>83</v>
      </c>
    </row>
    <row r="7" customFormat="false" ht="15" hidden="false" customHeight="false" outlineLevel="0" collapsed="false">
      <c r="A7" s="27"/>
    </row>
    <row r="8" customFormat="false" ht="15" hidden="false" customHeight="false" outlineLevel="0" collapsed="false">
      <c r="A8" s="28" t="s">
        <v>84</v>
      </c>
    </row>
    <row r="9" customFormat="false" ht="20.85" hidden="false" customHeight="false" outlineLevel="0" collapsed="false">
      <c r="A9" s="27" t="s">
        <v>85</v>
      </c>
    </row>
    <row r="10" customFormat="false" ht="20.85" hidden="false" customHeight="false" outlineLevel="0" collapsed="false">
      <c r="A10" s="27" t="s">
        <v>86</v>
      </c>
    </row>
    <row r="11" customFormat="false" ht="20.85" hidden="false" customHeight="false" outlineLevel="0" collapsed="false">
      <c r="A11" s="27" t="s">
        <v>87</v>
      </c>
    </row>
    <row r="12" customFormat="false" ht="15" hidden="false" customHeight="false" outlineLevel="0" collapsed="false">
      <c r="A12" s="27"/>
    </row>
    <row r="13" customFormat="false" ht="15" hidden="false" customHeight="false" outlineLevel="0" collapsed="false">
      <c r="A13" s="28" t="s">
        <v>88</v>
      </c>
    </row>
    <row r="14" customFormat="false" ht="30.55" hidden="false" customHeight="false" outlineLevel="0" collapsed="false">
      <c r="A14" s="27" t="s">
        <v>89</v>
      </c>
    </row>
    <row r="15" customFormat="false" ht="30.55" hidden="false" customHeight="false" outlineLevel="0" collapsed="false">
      <c r="A15" s="27" t="s">
        <v>90</v>
      </c>
    </row>
    <row r="16" customFormat="false" ht="49.95" hidden="false" customHeight="false" outlineLevel="0" collapsed="false">
      <c r="A16" s="27" t="s">
        <v>91</v>
      </c>
    </row>
    <row r="17" customFormat="false" ht="30.55" hidden="false" customHeight="false" outlineLevel="0" collapsed="false">
      <c r="A17" s="27" t="s">
        <v>92</v>
      </c>
    </row>
    <row r="18" customFormat="false" ht="15" hidden="false" customHeight="false" outlineLevel="0" collapsed="false">
      <c r="A18" s="27" t="s">
        <v>93</v>
      </c>
    </row>
    <row r="19" customFormat="false" ht="15" hidden="false" customHeight="false" outlineLevel="0" collapsed="false">
      <c r="A19" s="27"/>
    </row>
    <row r="20" customFormat="false" ht="15" hidden="false" customHeight="false" outlineLevel="0" collapsed="false">
      <c r="A20" s="28" t="s">
        <v>94</v>
      </c>
    </row>
    <row r="21" customFormat="false" ht="20.85" hidden="false" customHeight="false" outlineLevel="0" collapsed="false">
      <c r="A21" s="27" t="s">
        <v>95</v>
      </c>
    </row>
    <row r="22" customFormat="false" ht="20.85" hidden="false" customHeight="false" outlineLevel="0" collapsed="false">
      <c r="A22" s="27" t="s">
        <v>96</v>
      </c>
    </row>
    <row r="23" customFormat="false" ht="20.85" hidden="false" customHeight="false" outlineLevel="0" collapsed="false">
      <c r="A23" s="27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2026-08-17T15:59:31Z</dcterms:created>
  <dc:creator>openpyxl</dc:creator>
  <dc:description/>
  <dc:language>en-US</dc:language>
  <cp:lastModifiedBy/>
  <dcterms:modified xsi:type="dcterms:W3CDTF">2026-08-17T15:59:31Z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