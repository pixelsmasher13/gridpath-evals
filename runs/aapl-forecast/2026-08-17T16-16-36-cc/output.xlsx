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Notes &amp; Sources" sheetId="1" state="visible" r:id="rId3"/>
    <sheet name="Assumptions" sheetId="2" state="visible" r:id="rId4"/>
    <sheet name="Quarterly Income Statement" sheetId="3" state="visible" r:id="rId5"/>
    <sheet name="Annual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<sst xmlns="http://schemas.openxmlformats.org/spreadsheetml/2006/main" count="359" uniqueCount="134">
  <si>
    <t xml:space="preserve">Apple Inc. (AAPL) — Income Statement Forecast, FY2026–FY2028 (Quarterly)</t>
  </si>
  <si>
    <t xml:space="preserve">Built 2026-08-17. All dollar figures in millions except per-share amounts; share counts in thousands.</t>
  </si>
  <si>
    <t xml:space="preserve">Scope</t>
  </si>
  <si>
    <t xml:space="preserve">Historical actuals cover FY2024 Q1 through FY2026 Q3 (11 quarters), sourced directly from Apple's condensed</t>
  </si>
  <si>
    <t xml:space="preserve">consolidated statements of operations as filed with the SEC / issued via Apple Newsroom press releases.</t>
  </si>
  <si>
    <t xml:space="preserve">Forecast periods are FY2026 Q4 (in progress at time of writing) through FY2028 Q4 (9 quarters).</t>
  </si>
  <si>
    <t xml:space="preserve">Sources (historical actuals)</t>
  </si>
  <si>
    <t xml:space="preserve">- Apple Inc. Form 10-Q, quarter ended Dec 27, 2025 (FY26 Q1) — sec.gov/Archives/edgar/data/320193</t>
  </si>
  <si>
    <t xml:space="preserve">- Apple Inc. Form 10-Q, quarter ended Mar 28, 2026 (FY26 Q2), 8-K Ex-99.1</t>
  </si>
  <si>
    <t xml:space="preserve">- Apple Inc. Form 10-Q, quarter ended Jun 27, 2026 (FY26 Q3), 8-K Ex-99.1</t>
  </si>
  <si>
    <t xml:space="preserve">- Apple Inc. FY2025 Form 10-K and Q4 FY25 press release (quarter/year ended Sep 27, 2025)</t>
  </si>
  <si>
    <t xml:space="preserve">- Apple quarterly press releases for FY24 Q1-Q4 and FY25 Q1-Q3 (apple.com/newsroom, Consolidated Financial Statements PDFs)</t>
  </si>
  <si>
    <t xml:space="preserve">- Analyst consensus cross-check: FY2026 revenue ~$477.6B (+14.8% y/y), EPS ~$8.80 (stockanalysis.com, retrieved 2026-08-17)</t>
  </si>
  <si>
    <t xml:space="preserve">Methodology</t>
  </si>
  <si>
    <t xml:space="preserve">- Each forecast quarter's Products/Services revenue = same fiscal quarter one year prior x (1 + assumed y/y growth), carried</t>
  </si>
  <si>
    <t xml:space="preserve">  forward on the 'Assumptions' tab. This preserves Apple's strong seasonality (Q1/Dec-quarter is the largest) without a</t>
  </si>
  <si>
    <t xml:space="preserve">  separate seasonality table.</t>
  </si>
  <si>
    <t xml:space="preserve">- Cost of sales is derived from assumed gross-margin % by segment (Products / Services), applied to forecast revenue.</t>
  </si>
  <si>
    <t xml:space="preserve">- R&amp;D and SG&amp;A are forecast as a % of total net sales (assumption tab), reflecting each quarter's historical seasonal ratio.</t>
  </si>
  <si>
    <t xml:space="preserve">- Other income/(expense), net and the effective tax rate are direct quarterly assumptions.</t>
  </si>
  <si>
    <t xml:space="preserve">- Diluted share count = same quarter prior year x (1 + assumed y/y change), reflecting continued net buybacks at a</t>
  </si>
  <si>
    <t xml:space="preserve">  gradually decelerating pace. Basic shares = diluted shares x an assumed basic/diluted ratio (~0.996, per recent actuals).</t>
  </si>
  <si>
    <t xml:space="preserve">- All subtotals, margins, growth rates and EPS are live formulas, both in historical and forecast columns, so the model</t>
  </si>
  <si>
    <t xml:space="preserve">  is fully auditable and re-flows automatically if any assumption or historical input is changed.</t>
  </si>
  <si>
    <t xml:space="preserve">Known distortion</t>
  </si>
  <si>
    <t xml:space="preserve">- FY2024 Q4 provision for income taxes ($14,874M; effective rate ~50%) includes a one-time non-recurring $10,246M charge</t>
  </si>
  <si>
    <t xml:space="preserve">  tied to the reversal of the European General Court's State Aid decision. Non-GAAP adjusted FY24 Q4 tax would be $4,628M</t>
  </si>
  <si>
    <t xml:space="preserve">  (effective rate ~15.6%). The forecast tax-rate assumption (~17.5%) is based on the more representative recent run-rate</t>
  </si>
  <si>
    <t xml:space="preserve">  (FY26 Q1-Q3 effective rates: 17.5%, 17.5%, 17.9%), not this one-off.</t>
  </si>
  <si>
    <t xml:space="preserve">- FY2026 Q3 gross margin (50.1%) included an estimated ~2pp favorable one-time impact from tariff refunds; forecast gross-</t>
  </si>
  <si>
    <t xml:space="preserve">  margin assumptions normalize modestly below that level.</t>
  </si>
  <si>
    <t xml:space="preserve">Sheet guide</t>
  </si>
  <si>
    <t xml:space="preserve">- Assumptions: editable forecast drivers for FY2026 Q4 - FY2028 Q4 (growth rates, margins, opex ratios, tax rate, shares).</t>
  </si>
  <si>
    <t xml:space="preserve">- Quarterly Income Statement: full statement, FY2024 Q1 - FY2028 Q4, one column per fiscal quarter.</t>
  </si>
  <si>
    <t xml:space="preserve">- Annual Summary: FY2024 - FY2028 fiscal-year roll-up, aggregated by formula from the quarterly sheet.</t>
  </si>
  <si>
    <t xml:space="preserve">Forecast Assumptions (FY2026 Q4 – FY2028 Q4)</t>
  </si>
  <si>
    <t xml:space="preserve">Editable drivers. Historical columns (B:L) are shown as 'Actual' — no assumptions apply.</t>
  </si>
  <si>
    <t xml:space="preserve">FY2024 Q1</t>
  </si>
  <si>
    <t xml:space="preserve">FY2024 Q2</t>
  </si>
  <si>
    <t xml:space="preserve">FY2024 Q3</t>
  </si>
  <si>
    <t xml:space="preserve">FY2024 Q4</t>
  </si>
  <si>
    <t xml:space="preserve">FY2025 Q1</t>
  </si>
  <si>
    <t xml:space="preserve">FY2025 Q2</t>
  </si>
  <si>
    <t xml:space="preserve">FY2025 Q3</t>
  </si>
  <si>
    <t xml:space="preserve">FY2025 Q4</t>
  </si>
  <si>
    <t xml:space="preserve">FY2026 Q1</t>
  </si>
  <si>
    <t xml:space="preserve">FY2026 Q2</t>
  </si>
  <si>
    <t xml:space="preserve">FY2026 Q3</t>
  </si>
  <si>
    <t xml:space="preserve">FY2026 Q4</t>
  </si>
  <si>
    <t xml:space="preserve">FY2027 Q1</t>
  </si>
  <si>
    <t xml:space="preserve">FY2027 Q2</t>
  </si>
  <si>
    <t xml:space="preserve">FY2027 Q3</t>
  </si>
  <si>
    <t xml:space="preserve">FY2027 Q4</t>
  </si>
  <si>
    <t xml:space="preserve">FY2028 Q1</t>
  </si>
  <si>
    <t xml:space="preserve">FY2028 Q2</t>
  </si>
  <si>
    <t xml:space="preserve">FY2028 Q3</t>
  </si>
  <si>
    <t xml:space="preserve">FY2028 Q4</t>
  </si>
  <si>
    <t xml:space="preserve">Dec 30, 2023</t>
  </si>
  <si>
    <t xml:space="preserve">Mar 30, 2024</t>
  </si>
  <si>
    <t xml:space="preserve">Jun 29, 2024</t>
  </si>
  <si>
    <t xml:space="preserve">Sep 28, 2024</t>
  </si>
  <si>
    <t xml:space="preserve">Dec 28, 2024</t>
  </si>
  <si>
    <t xml:space="preserve">Mar 29, 2025</t>
  </si>
  <si>
    <t xml:space="preserve">Jun 28, 2025</t>
  </si>
  <si>
    <t xml:space="preserve">Sep 27, 2025</t>
  </si>
  <si>
    <t xml:space="preserve">Dec 27, 2025</t>
  </si>
  <si>
    <t xml:space="preserve">Mar 28, 2026</t>
  </si>
  <si>
    <t xml:space="preserve">Jun 27, 2026</t>
  </si>
  <si>
    <t xml:space="preserve">~Sep 26, 2026 (E)</t>
  </si>
  <si>
    <t xml:space="preserve">~Dec 2026 (E)</t>
  </si>
  <si>
    <t xml:space="preserve">~Mar 2027 (E)</t>
  </si>
  <si>
    <t xml:space="preserve">~Jun 2027 (E)</t>
  </si>
  <si>
    <t xml:space="preserve">~Sep 2027 (E)</t>
  </si>
  <si>
    <t xml:space="preserve">~Dec 2027 (E)</t>
  </si>
  <si>
    <t xml:space="preserve">~Mar 2028 (E)</t>
  </si>
  <si>
    <t xml:space="preserve">~Jun 2028 (E)</t>
  </si>
  <si>
    <t xml:space="preserve">~Sep 2028 (E)</t>
  </si>
  <si>
    <t xml:space="preserve">Actual</t>
  </si>
  <si>
    <t xml:space="preserve">Forecast</t>
  </si>
  <si>
    <t xml:space="preserve">Products net sales — y/y growth %</t>
  </si>
  <si>
    <t xml:space="preserve">Services net sales — y/y growth %</t>
  </si>
  <si>
    <t xml:space="preserve">Products gross margin %</t>
  </si>
  <si>
    <t xml:space="preserve">Services gross margin %</t>
  </si>
  <si>
    <t xml:space="preserve">R&amp;D expense — % of total net sales</t>
  </si>
  <si>
    <t xml:space="preserve">SG&amp;A expense — % of total net sales</t>
  </si>
  <si>
    <t xml:space="preserve">Other income/(expense), net ($M)</t>
  </si>
  <si>
    <t xml:space="preserve">Effective tax rate %</t>
  </si>
  <si>
    <t xml:space="preserve">Diluted shares outstanding — y/y change %</t>
  </si>
  <si>
    <t xml:space="preserve">Basic / diluted shares ratio</t>
  </si>
  <si>
    <t xml:space="preserve">Apple Inc. — Quarterly Income Statement</t>
  </si>
  <si>
    <t xml:space="preserve">$ in millions except per-share amounts; shares in thousands. FY2024 Q1 - FY2026 Q3 actual; FY2026 Q4 - FY2028 Q4 forecast.</t>
  </si>
  <si>
    <t xml:space="preserve">NET SALES</t>
  </si>
  <si>
    <t xml:space="preserve">Net sales — Products</t>
  </si>
  <si>
    <t xml:space="preserve">Net sales — Services</t>
  </si>
  <si>
    <t xml:space="preserve">Total net sales</t>
  </si>
  <si>
    <t xml:space="preserve">  y/y growth %</t>
  </si>
  <si>
    <t xml:space="preserve">COST OF SALES</t>
  </si>
  <si>
    <t xml:space="preserve">Cost of sales — Products</t>
  </si>
  <si>
    <t xml:space="preserve">Cost of sales — Services</t>
  </si>
  <si>
    <t xml:space="preserve">Total cost of sales</t>
  </si>
  <si>
    <t xml:space="preserve">GROSS MARGIN</t>
  </si>
  <si>
    <t xml:space="preserve">Gross margin ($)</t>
  </si>
  <si>
    <t xml:space="preserve">  Gross margin % — Products</t>
  </si>
  <si>
    <t xml:space="preserve">  Gross margin % — Services</t>
  </si>
  <si>
    <t xml:space="preserve">  Gross margin % — Total</t>
  </si>
  <si>
    <t xml:space="preserve">OPERATING EXPENSES</t>
  </si>
  <si>
    <t xml:space="preserve">Research and development</t>
  </si>
  <si>
    <t xml:space="preserve">Selling, general and administrative</t>
  </si>
  <si>
    <t xml:space="preserve">Total operating expenses</t>
  </si>
  <si>
    <t xml:space="preserve">OPERATING INCOME</t>
  </si>
  <si>
    <t xml:space="preserve">Operating income</t>
  </si>
  <si>
    <t xml:space="preserve">  Operating margin %</t>
  </si>
  <si>
    <t xml:space="preserve">OTHER INCOME / TAXES / NET INCOME</t>
  </si>
  <si>
    <t xml:space="preserve">Other income/(expense), net</t>
  </si>
  <si>
    <t xml:space="preserve">Income before provision for income taxes</t>
  </si>
  <si>
    <t xml:space="preserve">Provision for income taxes</t>
  </si>
  <si>
    <t xml:space="preserve">  Effective tax rate %</t>
  </si>
  <si>
    <t xml:space="preserve">Net income</t>
  </si>
  <si>
    <t xml:space="preserve">  Net margin %</t>
  </si>
  <si>
    <t xml:space="preserve">PER-SHARE DATA</t>
  </si>
  <si>
    <t xml:space="preserve">Earnings per share — Basic</t>
  </si>
  <si>
    <t xml:space="preserve">Earnings per share — Diluted</t>
  </si>
  <si>
    <t xml:space="preserve">Shares used in computing EPS — Basic</t>
  </si>
  <si>
    <t xml:space="preserve">Shares used in computing EPS — Diluted</t>
  </si>
  <si>
    <t xml:space="preserve">Apple Inc. — Annual Income Statement Summary</t>
  </si>
  <si>
    <t xml:space="preserve">$ in millions except per-share amounts; shares in thousands. FY2024-FY2025 actual; FY2026 partial actual (Q1-Q3) + Q4 forecast; FY2027-FY2028 forecast.</t>
  </si>
  <si>
    <t xml:space="preserve">FY2024</t>
  </si>
  <si>
    <t xml:space="preserve">FY2025</t>
  </si>
  <si>
    <t xml:space="preserve">FY2026</t>
  </si>
  <si>
    <t xml:space="preserve">FY2027</t>
  </si>
  <si>
    <t xml:space="preserve">FY2028</t>
  </si>
  <si>
    <t xml:space="preserve">Actual (9mo) + Forecast (Q4)</t>
  </si>
  <si>
    <t xml:space="preserve">Weighted-avg shares — Basic</t>
  </si>
  <si>
    <t xml:space="preserve">Weighted-avg shares — Diluted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</si>
</sst>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;\(#,##0\)"/>
    <numFmt numFmtId="167" formatCode="0.0000"/>
    <numFmt numFmtId="168" formatCode="\$#,##0.00;&quot;($&quot;#,##0.00\)"/>
    <numFmt numFmtId="169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color rgb="FF999999"/>
      <name val="Cambria"/>
      <family val="0"/>
      <charset val="1"/>
    </font>
    <font>
      <b val="true"/>
      <sz val="9"/>
      <color rgb="FF1F386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A9601A"/>
        <bgColor rgb="FF993300"/>
      </patternFill>
    </fill>
    <fill>
      <patternFill patternType="solid">
        <fgColor rgb="FFFFF6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01A"/>
      <rgbColor rgb="FF800080"/>
      <rgbColor rgb="FF008080"/>
      <rgbColor rgb="FFC0C0C0"/>
      <rgbColor rgb="FF808080"/>
      <rgbColor rgb="FF9999FF"/>
      <rgbColor rgb="FF993366"/>
      <rgbColor rgb="FFFFF6E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4" t="s">
        <v>19</v>
      </c>
    </row>
    <row r="24" customFormat="false" ht="15" hidden="false" customHeight="false" outlineLevel="0" collapsed="false">
      <c r="A24" s="4" t="s">
        <v>20</v>
      </c>
    </row>
    <row r="25" customFormat="false" ht="15" hidden="false" customHeight="false" outlineLevel="0" collapsed="false">
      <c r="A25" s="4" t="s">
        <v>21</v>
      </c>
    </row>
    <row r="26" customFormat="false" ht="15" hidden="false" customHeight="false" outlineLevel="0" collapsed="false">
      <c r="A26" s="4" t="s">
        <v>22</v>
      </c>
    </row>
    <row r="27" customFormat="false" ht="15" hidden="false" customHeight="false" outlineLevel="0" collapsed="false">
      <c r="A27" s="4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4" t="s">
        <v>25</v>
      </c>
    </row>
    <row r="31" customFormat="false" ht="15" hidden="false" customHeight="false" outlineLevel="0" collapsed="false">
      <c r="A31" s="4" t="s">
        <v>26</v>
      </c>
    </row>
    <row r="32" customFormat="false" ht="15" hidden="false" customHeight="false" outlineLevel="0" collapsed="false">
      <c r="A32" s="4" t="s">
        <v>27</v>
      </c>
    </row>
    <row r="33" customFormat="false" ht="15" hidden="false" customHeight="false" outlineLevel="0" collapsed="false">
      <c r="A33" s="4" t="s">
        <v>28</v>
      </c>
    </row>
    <row r="34" customFormat="false" ht="15" hidden="false" customHeight="false" outlineLevel="0" collapsed="false">
      <c r="A34" s="4" t="s">
        <v>29</v>
      </c>
    </row>
    <row r="35" customFormat="false" ht="15" hidden="false" customHeight="false" outlineLevel="0" collapsed="false">
      <c r="A35" s="4" t="s">
        <v>30</v>
      </c>
    </row>
    <row r="37" customFormat="false" ht="15" hidden="false" customHeight="false" outlineLevel="0" collapsed="false">
      <c r="A37" s="3" t="s">
        <v>31</v>
      </c>
    </row>
    <row r="38" customFormat="false" ht="15" hidden="false" customHeight="false" outlineLevel="0" collapsed="false">
      <c r="A38" s="4" t="s">
        <v>32</v>
      </c>
    </row>
    <row r="39" customFormat="false" ht="15" hidden="false" customHeight="false" outlineLevel="0" collapsed="false">
      <c r="A39" s="4" t="s">
        <v>33</v>
      </c>
    </row>
    <row r="40" customFormat="false" ht="15" hidden="false" customHeight="false" outlineLevel="0" collapsed="false">
      <c r="A40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1" min="2" style="0" width="11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4"/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46</v>
      </c>
      <c r="L4" s="5" t="s">
        <v>47</v>
      </c>
      <c r="M4" s="6" t="s">
        <v>48</v>
      </c>
      <c r="N4" s="6" t="s">
        <v>49</v>
      </c>
      <c r="O4" s="6" t="s">
        <v>50</v>
      </c>
      <c r="P4" s="6" t="s">
        <v>51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56</v>
      </c>
    </row>
    <row r="5" customFormat="false" ht="15" hidden="false" customHeight="false" outlineLevel="0" collapsed="false">
      <c r="B5" s="5" t="s">
        <v>57</v>
      </c>
      <c r="C5" s="5" t="s">
        <v>58</v>
      </c>
      <c r="D5" s="5" t="s">
        <v>59</v>
      </c>
      <c r="E5" s="5" t="s">
        <v>60</v>
      </c>
      <c r="F5" s="5" t="s">
        <v>61</v>
      </c>
      <c r="G5" s="5" t="s">
        <v>62</v>
      </c>
      <c r="H5" s="5" t="s">
        <v>63</v>
      </c>
      <c r="I5" s="5" t="s">
        <v>64</v>
      </c>
      <c r="J5" s="5" t="s">
        <v>65</v>
      </c>
      <c r="K5" s="5" t="s">
        <v>66</v>
      </c>
      <c r="L5" s="5" t="s">
        <v>67</v>
      </c>
      <c r="M5" s="6" t="s">
        <v>68</v>
      </c>
      <c r="N5" s="6" t="s">
        <v>69</v>
      </c>
      <c r="O5" s="6" t="s">
        <v>70</v>
      </c>
      <c r="P5" s="6" t="s">
        <v>71</v>
      </c>
      <c r="Q5" s="6" t="s">
        <v>72</v>
      </c>
      <c r="R5" s="6" t="s">
        <v>73</v>
      </c>
      <c r="S5" s="6" t="s">
        <v>74</v>
      </c>
      <c r="T5" s="6" t="s">
        <v>75</v>
      </c>
      <c r="U5" s="6" t="s">
        <v>76</v>
      </c>
    </row>
    <row r="6" customFormat="false" ht="15" hidden="false" customHeight="false" outlineLevel="0" collapsed="false">
      <c r="B6" s="5" t="s">
        <v>77</v>
      </c>
      <c r="C6" s="5" t="s">
        <v>77</v>
      </c>
      <c r="D6" s="5" t="s">
        <v>77</v>
      </c>
      <c r="E6" s="5" t="s">
        <v>77</v>
      </c>
      <c r="F6" s="5" t="s">
        <v>77</v>
      </c>
      <c r="G6" s="5" t="s">
        <v>77</v>
      </c>
      <c r="H6" s="5" t="s">
        <v>77</v>
      </c>
      <c r="I6" s="5" t="s">
        <v>77</v>
      </c>
      <c r="J6" s="5" t="s">
        <v>77</v>
      </c>
      <c r="K6" s="5" t="s">
        <v>77</v>
      </c>
      <c r="L6" s="5" t="s">
        <v>77</v>
      </c>
      <c r="M6" s="6" t="s">
        <v>78</v>
      </c>
      <c r="N6" s="6" t="s">
        <v>78</v>
      </c>
      <c r="O6" s="6" t="s">
        <v>78</v>
      </c>
      <c r="P6" s="6" t="s">
        <v>78</v>
      </c>
      <c r="Q6" s="6" t="s">
        <v>78</v>
      </c>
      <c r="R6" s="6" t="s">
        <v>78</v>
      </c>
      <c r="S6" s="6" t="s">
        <v>78</v>
      </c>
      <c r="T6" s="6" t="s">
        <v>78</v>
      </c>
      <c r="U6" s="6" t="s">
        <v>78</v>
      </c>
    </row>
    <row r="8" customFormat="false" ht="15" hidden="false" customHeight="false" outlineLevel="0" collapsed="false">
      <c r="A8" s="7" t="s">
        <v>79</v>
      </c>
      <c r="B8" s="8" t="s">
        <v>77</v>
      </c>
      <c r="C8" s="8" t="s">
        <v>77</v>
      </c>
      <c r="D8" s="8" t="s">
        <v>77</v>
      </c>
      <c r="E8" s="8" t="s">
        <v>77</v>
      </c>
      <c r="F8" s="8" t="s">
        <v>77</v>
      </c>
      <c r="G8" s="8" t="s">
        <v>77</v>
      </c>
      <c r="H8" s="8" t="s">
        <v>77</v>
      </c>
      <c r="I8" s="8" t="s">
        <v>77</v>
      </c>
      <c r="J8" s="8" t="s">
        <v>77</v>
      </c>
      <c r="K8" s="8" t="s">
        <v>77</v>
      </c>
      <c r="L8" s="8" t="s">
        <v>77</v>
      </c>
      <c r="M8" s="9" t="n">
        <v>0.1</v>
      </c>
      <c r="N8" s="9" t="n">
        <v>0.07</v>
      </c>
      <c r="O8" s="9" t="n">
        <v>0.065</v>
      </c>
      <c r="P8" s="9" t="n">
        <v>0.06</v>
      </c>
      <c r="Q8" s="9" t="n">
        <v>0.06</v>
      </c>
      <c r="R8" s="9" t="n">
        <v>0.055</v>
      </c>
      <c r="S8" s="9" t="n">
        <v>0.05</v>
      </c>
      <c r="T8" s="9" t="n">
        <v>0.05</v>
      </c>
      <c r="U8" s="9" t="n">
        <v>0.05</v>
      </c>
    </row>
    <row r="9" customFormat="false" ht="15" hidden="false" customHeight="false" outlineLevel="0" collapsed="false">
      <c r="A9" s="7" t="s">
        <v>80</v>
      </c>
      <c r="B9" s="8" t="s">
        <v>77</v>
      </c>
      <c r="C9" s="8" t="s">
        <v>77</v>
      </c>
      <c r="D9" s="8" t="s">
        <v>77</v>
      </c>
      <c r="E9" s="8" t="s">
        <v>77</v>
      </c>
      <c r="F9" s="8" t="s">
        <v>77</v>
      </c>
      <c r="G9" s="8" t="s">
        <v>77</v>
      </c>
      <c r="H9" s="8" t="s">
        <v>77</v>
      </c>
      <c r="I9" s="8" t="s">
        <v>77</v>
      </c>
      <c r="J9" s="8" t="s">
        <v>77</v>
      </c>
      <c r="K9" s="8" t="s">
        <v>77</v>
      </c>
      <c r="L9" s="8" t="s">
        <v>77</v>
      </c>
      <c r="M9" s="9" t="n">
        <v>0.13</v>
      </c>
      <c r="N9" s="9" t="n">
        <v>0.12</v>
      </c>
      <c r="O9" s="9" t="n">
        <v>0.12</v>
      </c>
      <c r="P9" s="9" t="n">
        <v>0.11</v>
      </c>
      <c r="Q9" s="9" t="n">
        <v>0.11</v>
      </c>
      <c r="R9" s="9" t="n">
        <v>0.11</v>
      </c>
      <c r="S9" s="9" t="n">
        <v>0.1</v>
      </c>
      <c r="T9" s="9" t="n">
        <v>0.1</v>
      </c>
      <c r="U9" s="9" t="n">
        <v>0.1</v>
      </c>
    </row>
    <row r="11" customFormat="false" ht="15" hidden="false" customHeight="false" outlineLevel="0" collapsed="false">
      <c r="A11" s="7" t="s">
        <v>81</v>
      </c>
      <c r="B11" s="8" t="s">
        <v>77</v>
      </c>
      <c r="C11" s="8" t="s">
        <v>77</v>
      </c>
      <c r="D11" s="8" t="s">
        <v>77</v>
      </c>
      <c r="E11" s="8" t="s">
        <v>77</v>
      </c>
      <c r="F11" s="8" t="s">
        <v>77</v>
      </c>
      <c r="G11" s="8" t="s">
        <v>77</v>
      </c>
      <c r="H11" s="8" t="s">
        <v>77</v>
      </c>
      <c r="I11" s="8" t="s">
        <v>77</v>
      </c>
      <c r="J11" s="8" t="s">
        <v>77</v>
      </c>
      <c r="K11" s="8" t="s">
        <v>77</v>
      </c>
      <c r="L11" s="8" t="s">
        <v>77</v>
      </c>
      <c r="M11" s="9" t="n">
        <v>0.39</v>
      </c>
      <c r="N11" s="9" t="n">
        <v>0.393</v>
      </c>
      <c r="O11" s="9" t="n">
        <v>0.393</v>
      </c>
      <c r="P11" s="9" t="n">
        <v>0.393</v>
      </c>
      <c r="Q11" s="9" t="n">
        <v>0.393</v>
      </c>
      <c r="R11" s="9" t="n">
        <v>0.396</v>
      </c>
      <c r="S11" s="9" t="n">
        <v>0.396</v>
      </c>
      <c r="T11" s="9" t="n">
        <v>0.396</v>
      </c>
      <c r="U11" s="9" t="n">
        <v>0.396</v>
      </c>
    </row>
    <row r="12" customFormat="false" ht="15" hidden="false" customHeight="false" outlineLevel="0" collapsed="false">
      <c r="A12" s="7" t="s">
        <v>82</v>
      </c>
      <c r="B12" s="8" t="s">
        <v>77</v>
      </c>
      <c r="C12" s="8" t="s">
        <v>77</v>
      </c>
      <c r="D12" s="8" t="s">
        <v>77</v>
      </c>
      <c r="E12" s="8" t="s">
        <v>77</v>
      </c>
      <c r="F12" s="8" t="s">
        <v>77</v>
      </c>
      <c r="G12" s="8" t="s">
        <v>77</v>
      </c>
      <c r="H12" s="8" t="s">
        <v>77</v>
      </c>
      <c r="I12" s="8" t="s">
        <v>77</v>
      </c>
      <c r="J12" s="8" t="s">
        <v>77</v>
      </c>
      <c r="K12" s="8" t="s">
        <v>77</v>
      </c>
      <c r="L12" s="8" t="s">
        <v>77</v>
      </c>
      <c r="M12" s="9" t="n">
        <v>0.76</v>
      </c>
      <c r="N12" s="9" t="n">
        <v>0.76</v>
      </c>
      <c r="O12" s="9" t="n">
        <v>0.762</v>
      </c>
      <c r="P12" s="9" t="n">
        <v>0.762</v>
      </c>
      <c r="Q12" s="9" t="n">
        <v>0.762</v>
      </c>
      <c r="R12" s="9" t="n">
        <v>0.765</v>
      </c>
      <c r="S12" s="9" t="n">
        <v>0.765</v>
      </c>
      <c r="T12" s="9" t="n">
        <v>0.765</v>
      </c>
      <c r="U12" s="9" t="n">
        <v>0.765</v>
      </c>
    </row>
    <row r="14" customFormat="false" ht="15" hidden="false" customHeight="false" outlineLevel="0" collapsed="false">
      <c r="A14" s="7" t="s">
        <v>83</v>
      </c>
      <c r="B14" s="8" t="s">
        <v>77</v>
      </c>
      <c r="C14" s="8" t="s">
        <v>77</v>
      </c>
      <c r="D14" s="8" t="s">
        <v>77</v>
      </c>
      <c r="E14" s="8" t="s">
        <v>77</v>
      </c>
      <c r="F14" s="8" t="s">
        <v>77</v>
      </c>
      <c r="G14" s="8" t="s">
        <v>77</v>
      </c>
      <c r="H14" s="8" t="s">
        <v>77</v>
      </c>
      <c r="I14" s="8" t="s">
        <v>77</v>
      </c>
      <c r="J14" s="8" t="s">
        <v>77</v>
      </c>
      <c r="K14" s="8" t="s">
        <v>77</v>
      </c>
      <c r="L14" s="8" t="s">
        <v>77</v>
      </c>
      <c r="M14" s="9" t="n">
        <v>0.088</v>
      </c>
      <c r="N14" s="9" t="n">
        <v>0.076</v>
      </c>
      <c r="O14" s="9" t="n">
        <v>0.102</v>
      </c>
      <c r="P14" s="9" t="n">
        <v>0.106</v>
      </c>
      <c r="Q14" s="9" t="n">
        <v>0.087</v>
      </c>
      <c r="R14" s="9" t="n">
        <v>0.075</v>
      </c>
      <c r="S14" s="9" t="n">
        <v>0.101</v>
      </c>
      <c r="T14" s="9" t="n">
        <v>0.105</v>
      </c>
      <c r="U14" s="9" t="n">
        <v>0.086</v>
      </c>
    </row>
    <row r="15" customFormat="false" ht="15" hidden="false" customHeight="false" outlineLevel="0" collapsed="false">
      <c r="A15" s="7" t="s">
        <v>84</v>
      </c>
      <c r="B15" s="8" t="s">
        <v>77</v>
      </c>
      <c r="C15" s="8" t="s">
        <v>77</v>
      </c>
      <c r="D15" s="8" t="s">
        <v>77</v>
      </c>
      <c r="E15" s="8" t="s">
        <v>77</v>
      </c>
      <c r="F15" s="8" t="s">
        <v>77</v>
      </c>
      <c r="G15" s="8" t="s">
        <v>77</v>
      </c>
      <c r="H15" s="8" t="s">
        <v>77</v>
      </c>
      <c r="I15" s="8" t="s">
        <v>77</v>
      </c>
      <c r="J15" s="8" t="s">
        <v>77</v>
      </c>
      <c r="K15" s="8" t="s">
        <v>77</v>
      </c>
      <c r="L15" s="8" t="s">
        <v>77</v>
      </c>
      <c r="M15" s="9" t="n">
        <v>0.068</v>
      </c>
      <c r="N15" s="9" t="n">
        <v>0.052</v>
      </c>
      <c r="O15" s="9" t="n">
        <v>0.066</v>
      </c>
      <c r="P15" s="9" t="n">
        <v>0.066</v>
      </c>
      <c r="Q15" s="9" t="n">
        <v>0.067</v>
      </c>
      <c r="R15" s="9" t="n">
        <v>0.051</v>
      </c>
      <c r="S15" s="9" t="n">
        <v>0.065</v>
      </c>
      <c r="T15" s="9" t="n">
        <v>0.065</v>
      </c>
      <c r="U15" s="9" t="n">
        <v>0.066</v>
      </c>
    </row>
    <row r="17" customFormat="false" ht="15" hidden="false" customHeight="false" outlineLevel="0" collapsed="false">
      <c r="A17" s="7" t="s">
        <v>85</v>
      </c>
      <c r="B17" s="8" t="s">
        <v>77</v>
      </c>
      <c r="C17" s="8" t="s">
        <v>77</v>
      </c>
      <c r="D17" s="8" t="s">
        <v>77</v>
      </c>
      <c r="E17" s="8" t="s">
        <v>77</v>
      </c>
      <c r="F17" s="8" t="s">
        <v>77</v>
      </c>
      <c r="G17" s="8" t="s">
        <v>77</v>
      </c>
      <c r="H17" s="8" t="s">
        <v>77</v>
      </c>
      <c r="I17" s="8" t="s">
        <v>77</v>
      </c>
      <c r="J17" s="8" t="s">
        <v>77</v>
      </c>
      <c r="K17" s="8" t="s">
        <v>77</v>
      </c>
      <c r="L17" s="8" t="s">
        <v>77</v>
      </c>
      <c r="M17" s="10" t="n">
        <v>100</v>
      </c>
      <c r="N17" s="10" t="n">
        <v>150</v>
      </c>
      <c r="O17" s="10" t="n">
        <v>100</v>
      </c>
      <c r="P17" s="10" t="n">
        <v>100</v>
      </c>
      <c r="Q17" s="10" t="n">
        <v>150</v>
      </c>
      <c r="R17" s="10" t="n">
        <v>150</v>
      </c>
      <c r="S17" s="10" t="n">
        <v>100</v>
      </c>
      <c r="T17" s="10" t="n">
        <v>100</v>
      </c>
      <c r="U17" s="10" t="n">
        <v>150</v>
      </c>
    </row>
    <row r="19" customFormat="false" ht="15" hidden="false" customHeight="false" outlineLevel="0" collapsed="false">
      <c r="A19" s="7" t="s">
        <v>86</v>
      </c>
      <c r="B19" s="8" t="s">
        <v>77</v>
      </c>
      <c r="C19" s="8" t="s">
        <v>77</v>
      </c>
      <c r="D19" s="8" t="s">
        <v>77</v>
      </c>
      <c r="E19" s="8" t="s">
        <v>77</v>
      </c>
      <c r="F19" s="8" t="s">
        <v>77</v>
      </c>
      <c r="G19" s="8" t="s">
        <v>77</v>
      </c>
      <c r="H19" s="8" t="s">
        <v>77</v>
      </c>
      <c r="I19" s="8" t="s">
        <v>77</v>
      </c>
      <c r="J19" s="8" t="s">
        <v>77</v>
      </c>
      <c r="K19" s="8" t="s">
        <v>77</v>
      </c>
      <c r="L19" s="8" t="s">
        <v>77</v>
      </c>
      <c r="M19" s="9" t="n">
        <v>0.175</v>
      </c>
      <c r="N19" s="9" t="n">
        <v>0.175</v>
      </c>
      <c r="O19" s="9" t="n">
        <v>0.175</v>
      </c>
      <c r="P19" s="9" t="n">
        <v>0.175</v>
      </c>
      <c r="Q19" s="9" t="n">
        <v>0.175</v>
      </c>
      <c r="R19" s="9" t="n">
        <v>0.176</v>
      </c>
      <c r="S19" s="9" t="n">
        <v>0.176</v>
      </c>
      <c r="T19" s="9" t="n">
        <v>0.176</v>
      </c>
      <c r="U19" s="9" t="n">
        <v>0.176</v>
      </c>
    </row>
    <row r="21" customFormat="false" ht="15" hidden="false" customHeight="false" outlineLevel="0" collapsed="false">
      <c r="A21" s="7" t="s">
        <v>87</v>
      </c>
      <c r="B21" s="8" t="s">
        <v>77</v>
      </c>
      <c r="C21" s="8" t="s">
        <v>77</v>
      </c>
      <c r="D21" s="8" t="s">
        <v>77</v>
      </c>
      <c r="E21" s="8" t="s">
        <v>77</v>
      </c>
      <c r="F21" s="8" t="s">
        <v>77</v>
      </c>
      <c r="G21" s="8" t="s">
        <v>77</v>
      </c>
      <c r="H21" s="8" t="s">
        <v>77</v>
      </c>
      <c r="I21" s="8" t="s">
        <v>77</v>
      </c>
      <c r="J21" s="8" t="s">
        <v>77</v>
      </c>
      <c r="K21" s="8" t="s">
        <v>77</v>
      </c>
      <c r="L21" s="8" t="s">
        <v>77</v>
      </c>
      <c r="M21" s="9" t="n">
        <v>-0.018</v>
      </c>
      <c r="N21" s="9" t="n">
        <v>-0.016</v>
      </c>
      <c r="O21" s="9" t="n">
        <v>-0.016</v>
      </c>
      <c r="P21" s="9" t="n">
        <v>-0.015</v>
      </c>
      <c r="Q21" s="9" t="n">
        <v>-0.015</v>
      </c>
      <c r="R21" s="9" t="n">
        <v>-0.013</v>
      </c>
      <c r="S21" s="9" t="n">
        <v>-0.013</v>
      </c>
      <c r="T21" s="9" t="n">
        <v>-0.012</v>
      </c>
      <c r="U21" s="9" t="n">
        <v>-0.012</v>
      </c>
    </row>
    <row r="22" customFormat="false" ht="15" hidden="false" customHeight="false" outlineLevel="0" collapsed="false">
      <c r="A22" s="7" t="s">
        <v>88</v>
      </c>
      <c r="B22" s="8" t="s">
        <v>77</v>
      </c>
      <c r="C22" s="8" t="s">
        <v>77</v>
      </c>
      <c r="D22" s="8" t="s">
        <v>77</v>
      </c>
      <c r="E22" s="8" t="s">
        <v>77</v>
      </c>
      <c r="F22" s="8" t="s">
        <v>77</v>
      </c>
      <c r="G22" s="8" t="s">
        <v>77</v>
      </c>
      <c r="H22" s="8" t="s">
        <v>77</v>
      </c>
      <c r="I22" s="8" t="s">
        <v>77</v>
      </c>
      <c r="J22" s="8" t="s">
        <v>77</v>
      </c>
      <c r="K22" s="8" t="s">
        <v>77</v>
      </c>
      <c r="L22" s="8" t="s">
        <v>77</v>
      </c>
      <c r="M22" s="11" t="n">
        <v>0.9958</v>
      </c>
      <c r="N22" s="11" t="n">
        <v>0.9958</v>
      </c>
      <c r="O22" s="11" t="n">
        <v>0.9958</v>
      </c>
      <c r="P22" s="11" t="n">
        <v>0.9958</v>
      </c>
      <c r="Q22" s="11" t="n">
        <v>0.9958</v>
      </c>
      <c r="R22" s="11" t="n">
        <v>0.9958</v>
      </c>
      <c r="S22" s="11" t="n">
        <v>0.9958</v>
      </c>
      <c r="T22" s="11" t="n">
        <v>0.9958</v>
      </c>
      <c r="U22" s="11" t="n">
        <v>0.9958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1" min="2" style="0" width="11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4"/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46</v>
      </c>
      <c r="L4" s="5" t="s">
        <v>47</v>
      </c>
      <c r="M4" s="6" t="s">
        <v>48</v>
      </c>
      <c r="N4" s="6" t="s">
        <v>49</v>
      </c>
      <c r="O4" s="6" t="s">
        <v>50</v>
      </c>
      <c r="P4" s="6" t="s">
        <v>51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56</v>
      </c>
    </row>
    <row r="5" customFormat="false" ht="15" hidden="false" customHeight="false" outlineLevel="0" collapsed="false">
      <c r="B5" s="5" t="s">
        <v>57</v>
      </c>
      <c r="C5" s="5" t="s">
        <v>58</v>
      </c>
      <c r="D5" s="5" t="s">
        <v>59</v>
      </c>
      <c r="E5" s="5" t="s">
        <v>60</v>
      </c>
      <c r="F5" s="5" t="s">
        <v>61</v>
      </c>
      <c r="G5" s="5" t="s">
        <v>62</v>
      </c>
      <c r="H5" s="5" t="s">
        <v>63</v>
      </c>
      <c r="I5" s="5" t="s">
        <v>64</v>
      </c>
      <c r="J5" s="5" t="s">
        <v>65</v>
      </c>
      <c r="K5" s="5" t="s">
        <v>66</v>
      </c>
      <c r="L5" s="5" t="s">
        <v>67</v>
      </c>
      <c r="M5" s="6" t="s">
        <v>68</v>
      </c>
      <c r="N5" s="6" t="s">
        <v>69</v>
      </c>
      <c r="O5" s="6" t="s">
        <v>70</v>
      </c>
      <c r="P5" s="6" t="s">
        <v>71</v>
      </c>
      <c r="Q5" s="6" t="s">
        <v>72</v>
      </c>
      <c r="R5" s="6" t="s">
        <v>73</v>
      </c>
      <c r="S5" s="6" t="s">
        <v>74</v>
      </c>
      <c r="T5" s="6" t="s">
        <v>75</v>
      </c>
      <c r="U5" s="6" t="s">
        <v>76</v>
      </c>
    </row>
    <row r="6" customFormat="false" ht="15" hidden="false" customHeight="false" outlineLevel="0" collapsed="false">
      <c r="B6" s="5" t="s">
        <v>77</v>
      </c>
      <c r="C6" s="5" t="s">
        <v>77</v>
      </c>
      <c r="D6" s="5" t="s">
        <v>77</v>
      </c>
      <c r="E6" s="5" t="s">
        <v>77</v>
      </c>
      <c r="F6" s="5" t="s">
        <v>77</v>
      </c>
      <c r="G6" s="5" t="s">
        <v>77</v>
      </c>
      <c r="H6" s="5" t="s">
        <v>77</v>
      </c>
      <c r="I6" s="5" t="s">
        <v>77</v>
      </c>
      <c r="J6" s="5" t="s">
        <v>77</v>
      </c>
      <c r="K6" s="5" t="s">
        <v>77</v>
      </c>
      <c r="L6" s="5" t="s">
        <v>77</v>
      </c>
      <c r="M6" s="6" t="s">
        <v>78</v>
      </c>
      <c r="N6" s="6" t="s">
        <v>78</v>
      </c>
      <c r="O6" s="6" t="s">
        <v>78</v>
      </c>
      <c r="P6" s="6" t="s">
        <v>78</v>
      </c>
      <c r="Q6" s="6" t="s">
        <v>78</v>
      </c>
      <c r="R6" s="6" t="s">
        <v>78</v>
      </c>
      <c r="S6" s="6" t="s">
        <v>78</v>
      </c>
      <c r="T6" s="6" t="s">
        <v>78</v>
      </c>
      <c r="U6" s="6" t="s">
        <v>78</v>
      </c>
    </row>
    <row r="7" customFormat="false" ht="15" hidden="false" customHeight="false" outlineLevel="0" collapsed="false">
      <c r="A7" s="12" t="s">
        <v>91</v>
      </c>
      <c r="M7" s="13"/>
      <c r="N7" s="13"/>
      <c r="O7" s="13"/>
      <c r="P7" s="13"/>
      <c r="Q7" s="13"/>
      <c r="R7" s="13"/>
      <c r="S7" s="13"/>
      <c r="T7" s="13"/>
      <c r="U7" s="13"/>
    </row>
    <row r="8" customFormat="false" ht="15" hidden="false" customHeight="false" outlineLevel="0" collapsed="false">
      <c r="A8" s="4" t="s">
        <v>92</v>
      </c>
      <c r="B8" s="14" t="n">
        <v>96458</v>
      </c>
      <c r="C8" s="14" t="n">
        <v>66886</v>
      </c>
      <c r="D8" s="14" t="n">
        <v>61564</v>
      </c>
      <c r="E8" s="14" t="n">
        <v>69958</v>
      </c>
      <c r="F8" s="14" t="n">
        <v>97960</v>
      </c>
      <c r="G8" s="14" t="n">
        <v>68714</v>
      </c>
      <c r="H8" s="14" t="n">
        <v>66613</v>
      </c>
      <c r="I8" s="14" t="n">
        <v>73716</v>
      </c>
      <c r="J8" s="14" t="n">
        <v>113743</v>
      </c>
      <c r="K8" s="14" t="n">
        <v>80208</v>
      </c>
      <c r="L8" s="14" t="n">
        <v>78678</v>
      </c>
      <c r="M8" s="10" t="n">
        <f aca="false">I8*(1+Assumptions!M8)</f>
        <v>81087.6</v>
      </c>
      <c r="N8" s="10" t="n">
        <f aca="false">J8*(1+Assumptions!N8)</f>
        <v>121705.01</v>
      </c>
      <c r="O8" s="10" t="n">
        <f aca="false">K8*(1+Assumptions!O8)</f>
        <v>85421.52</v>
      </c>
      <c r="P8" s="10" t="n">
        <f aca="false">L8*(1+Assumptions!P8)</f>
        <v>83398.68</v>
      </c>
      <c r="Q8" s="10" t="n">
        <f aca="false">M8*(1+Assumptions!Q8)</f>
        <v>85952.856</v>
      </c>
      <c r="R8" s="10" t="n">
        <f aca="false">N8*(1+Assumptions!R8)</f>
        <v>128398.78555</v>
      </c>
      <c r="S8" s="10" t="n">
        <f aca="false">O8*(1+Assumptions!S8)</f>
        <v>89692.596</v>
      </c>
      <c r="T8" s="10" t="n">
        <f aca="false">P8*(1+Assumptions!T8)</f>
        <v>87568.614</v>
      </c>
      <c r="U8" s="10" t="n">
        <f aca="false">Q8*(1+Assumptions!U8)</f>
        <v>90250.4988</v>
      </c>
    </row>
    <row r="9" customFormat="false" ht="15" hidden="false" customHeight="false" outlineLevel="0" collapsed="false">
      <c r="A9" s="4" t="s">
        <v>93</v>
      </c>
      <c r="B9" s="14" t="n">
        <v>23117</v>
      </c>
      <c r="C9" s="14" t="n">
        <v>23867</v>
      </c>
      <c r="D9" s="14" t="n">
        <v>24213</v>
      </c>
      <c r="E9" s="14" t="n">
        <v>24972</v>
      </c>
      <c r="F9" s="14" t="n">
        <v>26340</v>
      </c>
      <c r="G9" s="14" t="n">
        <v>26645</v>
      </c>
      <c r="H9" s="14" t="n">
        <v>27423</v>
      </c>
      <c r="I9" s="14" t="n">
        <v>28750</v>
      </c>
      <c r="J9" s="14" t="n">
        <v>30013</v>
      </c>
      <c r="K9" s="14" t="n">
        <v>30976</v>
      </c>
      <c r="L9" s="14" t="n">
        <v>30739</v>
      </c>
      <c r="M9" s="10" t="n">
        <f aca="false">I9*(1+Assumptions!M9)</f>
        <v>32487.5</v>
      </c>
      <c r="N9" s="10" t="n">
        <f aca="false">J9*(1+Assumptions!N9)</f>
        <v>33614.56</v>
      </c>
      <c r="O9" s="10" t="n">
        <f aca="false">K9*(1+Assumptions!O9)</f>
        <v>34693.12</v>
      </c>
      <c r="P9" s="10" t="n">
        <f aca="false">L9*(1+Assumptions!P9)</f>
        <v>34120.29</v>
      </c>
      <c r="Q9" s="10" t="n">
        <f aca="false">M9*(1+Assumptions!Q9)</f>
        <v>36061.125</v>
      </c>
      <c r="R9" s="10" t="n">
        <f aca="false">N9*(1+Assumptions!R9)</f>
        <v>37312.1616</v>
      </c>
      <c r="S9" s="10" t="n">
        <f aca="false">O9*(1+Assumptions!S9)</f>
        <v>38162.432</v>
      </c>
      <c r="T9" s="10" t="n">
        <f aca="false">P9*(1+Assumptions!T9)</f>
        <v>37532.319</v>
      </c>
      <c r="U9" s="10" t="n">
        <f aca="false">Q9*(1+Assumptions!U9)</f>
        <v>39667.2375</v>
      </c>
    </row>
    <row r="10" customFormat="false" ht="15" hidden="false" customHeight="false" outlineLevel="0" collapsed="false">
      <c r="A10" s="7" t="s">
        <v>94</v>
      </c>
      <c r="B10" s="15" t="n">
        <f aca="false">B8+B9</f>
        <v>119575</v>
      </c>
      <c r="C10" s="15" t="n">
        <f aca="false">C8+C9</f>
        <v>90753</v>
      </c>
      <c r="D10" s="15" t="n">
        <f aca="false">D8+D9</f>
        <v>85777</v>
      </c>
      <c r="E10" s="15" t="n">
        <f aca="false">E8+E9</f>
        <v>94930</v>
      </c>
      <c r="F10" s="15" t="n">
        <f aca="false">F8+F9</f>
        <v>124300</v>
      </c>
      <c r="G10" s="15" t="n">
        <f aca="false">G8+G9</f>
        <v>95359</v>
      </c>
      <c r="H10" s="15" t="n">
        <f aca="false">H8+H9</f>
        <v>94036</v>
      </c>
      <c r="I10" s="15" t="n">
        <f aca="false">I8+I9</f>
        <v>102466</v>
      </c>
      <c r="J10" s="15" t="n">
        <f aca="false">J8+J9</f>
        <v>143756</v>
      </c>
      <c r="K10" s="15" t="n">
        <f aca="false">K8+K9</f>
        <v>111184</v>
      </c>
      <c r="L10" s="15" t="n">
        <f aca="false">L8+L9</f>
        <v>109417</v>
      </c>
      <c r="M10" s="16" t="n">
        <f aca="false">M8+M9</f>
        <v>113575.1</v>
      </c>
      <c r="N10" s="16" t="n">
        <f aca="false">N8+N9</f>
        <v>155319.57</v>
      </c>
      <c r="O10" s="16" t="n">
        <f aca="false">O8+O9</f>
        <v>120114.64</v>
      </c>
      <c r="P10" s="16" t="n">
        <f aca="false">P8+P9</f>
        <v>117518.97</v>
      </c>
      <c r="Q10" s="16" t="n">
        <f aca="false">Q8+Q9</f>
        <v>122013.981</v>
      </c>
      <c r="R10" s="16" t="n">
        <f aca="false">R8+R9</f>
        <v>165710.94715</v>
      </c>
      <c r="S10" s="16" t="n">
        <f aca="false">S8+S9</f>
        <v>127855.028</v>
      </c>
      <c r="T10" s="16" t="n">
        <f aca="false">T8+T9</f>
        <v>125100.933</v>
      </c>
      <c r="U10" s="16" t="n">
        <f aca="false">U8+U9</f>
        <v>129917.7363</v>
      </c>
    </row>
    <row r="11" customFormat="false" ht="15" hidden="false" customHeight="false" outlineLevel="0" collapsed="false">
      <c r="A11" s="4" t="s">
        <v>95</v>
      </c>
      <c r="B11" s="17"/>
      <c r="C11" s="17"/>
      <c r="D11" s="17"/>
      <c r="E11" s="17"/>
      <c r="F11" s="17" t="n">
        <f aca="false">F10/B10-1</f>
        <v>0.0395149487769182</v>
      </c>
      <c r="G11" s="17" t="n">
        <f aca="false">G10/C10-1</f>
        <v>0.0507531431467829</v>
      </c>
      <c r="H11" s="17" t="n">
        <f aca="false">H10/D10-1</f>
        <v>0.0962845518029309</v>
      </c>
      <c r="I11" s="17" t="n">
        <f aca="false">I10/E10-1</f>
        <v>0.0793848098598968</v>
      </c>
      <c r="J11" s="17" t="n">
        <f aca="false">J10/F10-1</f>
        <v>0.156524537409493</v>
      </c>
      <c r="K11" s="17" t="n">
        <f aca="false">K10/G10-1</f>
        <v>0.16595182415923</v>
      </c>
      <c r="L11" s="17" t="n">
        <f aca="false">L10/H10-1</f>
        <v>0.163565017652814</v>
      </c>
      <c r="M11" s="9" t="n">
        <f aca="false">M10/I10-1</f>
        <v>0.108417426268226</v>
      </c>
      <c r="N11" s="9" t="n">
        <f aca="false">N10/J10-1</f>
        <v>0.0804388686385265</v>
      </c>
      <c r="O11" s="9" t="n">
        <f aca="false">O10/K10-1</f>
        <v>0.0803230680673477</v>
      </c>
      <c r="P11" s="9" t="n">
        <f aca="false">P10/L10-1</f>
        <v>0.0740467203451019</v>
      </c>
      <c r="Q11" s="9" t="n">
        <f aca="false">Q10/M10-1</f>
        <v>0.0743022106077829</v>
      </c>
      <c r="R11" s="9" t="n">
        <f aca="false">R10/N10-1</f>
        <v>0.0669032057582957</v>
      </c>
      <c r="S11" s="9" t="n">
        <f aca="false">S10/O10-1</f>
        <v>0.0644416700578714</v>
      </c>
      <c r="T11" s="9" t="n">
        <f aca="false">T10/P10-1</f>
        <v>0.0645169286286291</v>
      </c>
      <c r="U11" s="9" t="n">
        <f aca="false">U10/Q10-1</f>
        <v>0.0647774561179182</v>
      </c>
    </row>
    <row r="12" customFormat="false" ht="15" hidden="false" customHeight="false" outlineLevel="0" collapsed="false">
      <c r="A12" s="12" t="s">
        <v>96</v>
      </c>
      <c r="M12" s="13"/>
      <c r="N12" s="13"/>
      <c r="O12" s="13"/>
      <c r="P12" s="13"/>
      <c r="Q12" s="13"/>
      <c r="R12" s="13"/>
      <c r="S12" s="13"/>
      <c r="T12" s="13"/>
      <c r="U12" s="13"/>
    </row>
    <row r="13" customFormat="false" ht="15" hidden="false" customHeight="false" outlineLevel="0" collapsed="false">
      <c r="A13" s="4" t="s">
        <v>97</v>
      </c>
      <c r="B13" s="14" t="n">
        <v>58440</v>
      </c>
      <c r="C13" s="14" t="n">
        <v>42424</v>
      </c>
      <c r="D13" s="14" t="n">
        <v>39803</v>
      </c>
      <c r="E13" s="14" t="n">
        <v>44566</v>
      </c>
      <c r="F13" s="14" t="n">
        <v>59447</v>
      </c>
      <c r="G13" s="14" t="n">
        <v>44030</v>
      </c>
      <c r="H13" s="14" t="n">
        <v>43620</v>
      </c>
      <c r="I13" s="14" t="n">
        <v>47019</v>
      </c>
      <c r="J13" s="14" t="n">
        <v>67478</v>
      </c>
      <c r="K13" s="14" t="n">
        <v>49179</v>
      </c>
      <c r="L13" s="14" t="n">
        <v>47153</v>
      </c>
      <c r="M13" s="10" t="n">
        <f aca="false">M8*(1-Assumptions!M11)</f>
        <v>49463.436</v>
      </c>
      <c r="N13" s="10" t="n">
        <f aca="false">N8*(1-Assumptions!N11)</f>
        <v>73874.94107</v>
      </c>
      <c r="O13" s="10" t="n">
        <f aca="false">O8*(1-Assumptions!O11)</f>
        <v>51850.86264</v>
      </c>
      <c r="P13" s="10" t="n">
        <f aca="false">P8*(1-Assumptions!P11)</f>
        <v>50622.99876</v>
      </c>
      <c r="Q13" s="10" t="n">
        <f aca="false">Q8*(1-Assumptions!Q11)</f>
        <v>52173.383592</v>
      </c>
      <c r="R13" s="10" t="n">
        <f aca="false">R8*(1-Assumptions!R11)</f>
        <v>77552.8664722</v>
      </c>
      <c r="S13" s="10" t="n">
        <f aca="false">S8*(1-Assumptions!S11)</f>
        <v>54174.327984</v>
      </c>
      <c r="T13" s="10" t="n">
        <f aca="false">T8*(1-Assumptions!T11)</f>
        <v>52891.442856</v>
      </c>
      <c r="U13" s="10" t="n">
        <f aca="false">U8*(1-Assumptions!U11)</f>
        <v>54511.3012752</v>
      </c>
    </row>
    <row r="14" customFormat="false" ht="15" hidden="false" customHeight="false" outlineLevel="0" collapsed="false">
      <c r="A14" s="4" t="s">
        <v>98</v>
      </c>
      <c r="B14" s="14" t="n">
        <v>6280</v>
      </c>
      <c r="C14" s="14" t="n">
        <v>6058</v>
      </c>
      <c r="D14" s="14" t="n">
        <v>6296</v>
      </c>
      <c r="E14" s="14" t="n">
        <v>6485</v>
      </c>
      <c r="F14" s="14" t="n">
        <v>6578</v>
      </c>
      <c r="G14" s="14" t="n">
        <v>6462</v>
      </c>
      <c r="H14" s="14" t="n">
        <v>6698</v>
      </c>
      <c r="I14" s="14" t="n">
        <v>7106</v>
      </c>
      <c r="J14" s="14" t="n">
        <v>7047</v>
      </c>
      <c r="K14" s="14" t="n">
        <v>7224</v>
      </c>
      <c r="L14" s="14" t="n">
        <v>7494</v>
      </c>
      <c r="M14" s="10" t="n">
        <f aca="false">M9*(1-Assumptions!M12)</f>
        <v>7797</v>
      </c>
      <c r="N14" s="10" t="n">
        <f aca="false">N9*(1-Assumptions!N12)</f>
        <v>8067.4944</v>
      </c>
      <c r="O14" s="10" t="n">
        <f aca="false">O9*(1-Assumptions!O12)</f>
        <v>8256.96256</v>
      </c>
      <c r="P14" s="10" t="n">
        <f aca="false">P9*(1-Assumptions!P12)</f>
        <v>8120.62902</v>
      </c>
      <c r="Q14" s="10" t="n">
        <f aca="false">Q9*(1-Assumptions!Q12)</f>
        <v>8582.54775</v>
      </c>
      <c r="R14" s="10" t="n">
        <f aca="false">R9*(1-Assumptions!R12)</f>
        <v>8768.357976</v>
      </c>
      <c r="S14" s="10" t="n">
        <f aca="false">S9*(1-Assumptions!S12)</f>
        <v>8968.17152</v>
      </c>
      <c r="T14" s="10" t="n">
        <f aca="false">T9*(1-Assumptions!T12)</f>
        <v>8820.094965</v>
      </c>
      <c r="U14" s="10" t="n">
        <f aca="false">U9*(1-Assumptions!U12)</f>
        <v>9321.8008125</v>
      </c>
    </row>
    <row r="15" customFormat="false" ht="15" hidden="false" customHeight="false" outlineLevel="0" collapsed="false">
      <c r="A15" s="7" t="s">
        <v>99</v>
      </c>
      <c r="B15" s="15" t="n">
        <f aca="false">B13+B14</f>
        <v>64720</v>
      </c>
      <c r="C15" s="15" t="n">
        <f aca="false">C13+C14</f>
        <v>48482</v>
      </c>
      <c r="D15" s="15" t="n">
        <f aca="false">D13+D14</f>
        <v>46099</v>
      </c>
      <c r="E15" s="15" t="n">
        <f aca="false">E13+E14</f>
        <v>51051</v>
      </c>
      <c r="F15" s="15" t="n">
        <f aca="false">F13+F14</f>
        <v>66025</v>
      </c>
      <c r="G15" s="15" t="n">
        <f aca="false">G13+G14</f>
        <v>50492</v>
      </c>
      <c r="H15" s="15" t="n">
        <f aca="false">H13+H14</f>
        <v>50318</v>
      </c>
      <c r="I15" s="15" t="n">
        <f aca="false">I13+I14</f>
        <v>54125</v>
      </c>
      <c r="J15" s="15" t="n">
        <f aca="false">J13+J14</f>
        <v>74525</v>
      </c>
      <c r="K15" s="15" t="n">
        <f aca="false">K13+K14</f>
        <v>56403</v>
      </c>
      <c r="L15" s="15" t="n">
        <f aca="false">L13+L14</f>
        <v>54647</v>
      </c>
      <c r="M15" s="16" t="n">
        <f aca="false">M13+M14</f>
        <v>57260.436</v>
      </c>
      <c r="N15" s="16" t="n">
        <f aca="false">N13+N14</f>
        <v>81942.43547</v>
      </c>
      <c r="O15" s="16" t="n">
        <f aca="false">O13+O14</f>
        <v>60107.8252</v>
      </c>
      <c r="P15" s="16" t="n">
        <f aca="false">P13+P14</f>
        <v>58743.62778</v>
      </c>
      <c r="Q15" s="16" t="n">
        <f aca="false">Q13+Q14</f>
        <v>60755.931342</v>
      </c>
      <c r="R15" s="16" t="n">
        <f aca="false">R13+R14</f>
        <v>86321.2244482</v>
      </c>
      <c r="S15" s="16" t="n">
        <f aca="false">S13+S14</f>
        <v>63142.499504</v>
      </c>
      <c r="T15" s="16" t="n">
        <f aca="false">T13+T14</f>
        <v>61711.537821</v>
      </c>
      <c r="U15" s="16" t="n">
        <f aca="false">U13+U14</f>
        <v>63833.1020877</v>
      </c>
    </row>
    <row r="16" customFormat="false" ht="15" hidden="false" customHeight="false" outlineLevel="0" collapsed="false">
      <c r="A16" s="12" t="s">
        <v>100</v>
      </c>
      <c r="M16" s="13"/>
      <c r="N16" s="13"/>
      <c r="O16" s="13"/>
      <c r="P16" s="13"/>
      <c r="Q16" s="13"/>
      <c r="R16" s="13"/>
      <c r="S16" s="13"/>
      <c r="T16" s="13"/>
      <c r="U16" s="13"/>
    </row>
    <row r="17" customFormat="false" ht="15" hidden="false" customHeight="false" outlineLevel="0" collapsed="false">
      <c r="A17" s="7" t="s">
        <v>101</v>
      </c>
      <c r="B17" s="15" t="n">
        <f aca="false">B10-B15</f>
        <v>54855</v>
      </c>
      <c r="C17" s="15" t="n">
        <f aca="false">C10-C15</f>
        <v>42271</v>
      </c>
      <c r="D17" s="15" t="n">
        <f aca="false">D10-D15</f>
        <v>39678</v>
      </c>
      <c r="E17" s="15" t="n">
        <f aca="false">E10-E15</f>
        <v>43879</v>
      </c>
      <c r="F17" s="15" t="n">
        <f aca="false">F10-F15</f>
        <v>58275</v>
      </c>
      <c r="G17" s="15" t="n">
        <f aca="false">G10-G15</f>
        <v>44867</v>
      </c>
      <c r="H17" s="15" t="n">
        <f aca="false">H10-H15</f>
        <v>43718</v>
      </c>
      <c r="I17" s="15" t="n">
        <f aca="false">I10-I15</f>
        <v>48341</v>
      </c>
      <c r="J17" s="15" t="n">
        <f aca="false">J10-J15</f>
        <v>69231</v>
      </c>
      <c r="K17" s="15" t="n">
        <f aca="false">K10-K15</f>
        <v>54781</v>
      </c>
      <c r="L17" s="15" t="n">
        <f aca="false">L10-L15</f>
        <v>54770</v>
      </c>
      <c r="M17" s="16" t="n">
        <f aca="false">M10-M15</f>
        <v>56314.664</v>
      </c>
      <c r="N17" s="16" t="n">
        <f aca="false">N10-N15</f>
        <v>73377.13453</v>
      </c>
      <c r="O17" s="16" t="n">
        <f aca="false">O10-O15</f>
        <v>60006.8148</v>
      </c>
      <c r="P17" s="16" t="n">
        <f aca="false">P10-P15</f>
        <v>58775.34222</v>
      </c>
      <c r="Q17" s="16" t="n">
        <f aca="false">Q10-Q15</f>
        <v>61258.049658</v>
      </c>
      <c r="R17" s="16" t="n">
        <f aca="false">R10-R15</f>
        <v>79389.7227018</v>
      </c>
      <c r="S17" s="16" t="n">
        <f aca="false">S10-S15</f>
        <v>64712.528496</v>
      </c>
      <c r="T17" s="16" t="n">
        <f aca="false">T10-T15</f>
        <v>63389.395179</v>
      </c>
      <c r="U17" s="16" t="n">
        <f aca="false">U10-U15</f>
        <v>66084.6342123</v>
      </c>
    </row>
    <row r="18" customFormat="false" ht="15" hidden="false" customHeight="false" outlineLevel="0" collapsed="false">
      <c r="A18" s="4" t="s">
        <v>102</v>
      </c>
      <c r="B18" s="17" t="n">
        <f aca="false">(B8-B13)/B8</f>
        <v>0.394140454913019</v>
      </c>
      <c r="C18" s="17" t="n">
        <f aca="false">(C8-C13)/C8</f>
        <v>0.365726758963012</v>
      </c>
      <c r="D18" s="17" t="n">
        <f aca="false">(D8-D13)/D8</f>
        <v>0.353469560132545</v>
      </c>
      <c r="E18" s="17" t="n">
        <f aca="false">(E8-E13)/E8</f>
        <v>0.362960633522971</v>
      </c>
      <c r="F18" s="17" t="n">
        <f aca="false">(F8-F13)/F8</f>
        <v>0.393150265414455</v>
      </c>
      <c r="G18" s="17" t="n">
        <f aca="false">(G8-G13)/G8</f>
        <v>0.359228104898565</v>
      </c>
      <c r="H18" s="17" t="n">
        <f aca="false">(H8-H13)/H8</f>
        <v>0.345172864155645</v>
      </c>
      <c r="I18" s="17" t="n">
        <f aca="false">(I8-I13)/I8</f>
        <v>0.362160182321341</v>
      </c>
      <c r="J18" s="17" t="n">
        <f aca="false">(J8-J13)/J8</f>
        <v>0.406750305513306</v>
      </c>
      <c r="K18" s="17" t="n">
        <f aca="false">(K8-K13)/K8</f>
        <v>0.386856672651107</v>
      </c>
      <c r="L18" s="17" t="n">
        <f aca="false">(L8-L13)/L8</f>
        <v>0.400683799791555</v>
      </c>
      <c r="M18" s="9" t="n">
        <f aca="false">(M8-M13)/M8</f>
        <v>0.39</v>
      </c>
      <c r="N18" s="9" t="n">
        <f aca="false">(N8-N13)/N8</f>
        <v>0.393</v>
      </c>
      <c r="O18" s="9" t="n">
        <f aca="false">(O8-O13)/O8</f>
        <v>0.393</v>
      </c>
      <c r="P18" s="9" t="n">
        <f aca="false">(P8-P13)/P8</f>
        <v>0.393</v>
      </c>
      <c r="Q18" s="9" t="n">
        <f aca="false">(Q8-Q13)/Q8</f>
        <v>0.393</v>
      </c>
      <c r="R18" s="9" t="n">
        <f aca="false">(R8-R13)/R8</f>
        <v>0.396</v>
      </c>
      <c r="S18" s="9" t="n">
        <f aca="false">(S8-S13)/S8</f>
        <v>0.396</v>
      </c>
      <c r="T18" s="9" t="n">
        <f aca="false">(T8-T13)/T8</f>
        <v>0.396</v>
      </c>
      <c r="U18" s="9" t="n">
        <f aca="false">(U8-U13)/U8</f>
        <v>0.396</v>
      </c>
    </row>
    <row r="19" customFormat="false" ht="15" hidden="false" customHeight="false" outlineLevel="0" collapsed="false">
      <c r="A19" s="4" t="s">
        <v>103</v>
      </c>
      <c r="B19" s="17" t="n">
        <f aca="false">(B9-B14)/B9</f>
        <v>0.728338452221309</v>
      </c>
      <c r="C19" s="17" t="n">
        <f aca="false">(C9-C14)/C9</f>
        <v>0.746176729375288</v>
      </c>
      <c r="D19" s="17" t="n">
        <f aca="false">(D9-D14)/D9</f>
        <v>0.739974393920621</v>
      </c>
      <c r="E19" s="17" t="n">
        <f aca="false">(E9-E14)/E9</f>
        <v>0.740309146243793</v>
      </c>
      <c r="F19" s="17" t="n">
        <f aca="false">(F9-F14)/F9</f>
        <v>0.750265755504936</v>
      </c>
      <c r="G19" s="17" t="n">
        <f aca="false">(G9-G14)/G9</f>
        <v>0.757477950835053</v>
      </c>
      <c r="H19" s="17" t="n">
        <f aca="false">(H9-H14)/H9</f>
        <v>0.755752470553915</v>
      </c>
      <c r="I19" s="17" t="n">
        <f aca="false">(I9-I14)/I9</f>
        <v>0.752834782608696</v>
      </c>
      <c r="J19" s="17" t="n">
        <f aca="false">(J9-J14)/J9</f>
        <v>0.765201745910106</v>
      </c>
      <c r="K19" s="17" t="n">
        <f aca="false">(K9-K14)/K9</f>
        <v>0.766787190082645</v>
      </c>
      <c r="L19" s="17" t="n">
        <f aca="false">(L9-L14)/L9</f>
        <v>0.756205471876118</v>
      </c>
      <c r="M19" s="9" t="n">
        <f aca="false">(M9-M14)/M9</f>
        <v>0.76</v>
      </c>
      <c r="N19" s="9" t="n">
        <f aca="false">(N9-N14)/N9</f>
        <v>0.76</v>
      </c>
      <c r="O19" s="9" t="n">
        <f aca="false">(O9-O14)/O9</f>
        <v>0.762</v>
      </c>
      <c r="P19" s="9" t="n">
        <f aca="false">(P9-P14)/P9</f>
        <v>0.762</v>
      </c>
      <c r="Q19" s="9" t="n">
        <f aca="false">(Q9-Q14)/Q9</f>
        <v>0.762</v>
      </c>
      <c r="R19" s="9" t="n">
        <f aca="false">(R9-R14)/R9</f>
        <v>0.765</v>
      </c>
      <c r="S19" s="9" t="n">
        <f aca="false">(S9-S14)/S9</f>
        <v>0.765</v>
      </c>
      <c r="T19" s="9" t="n">
        <f aca="false">(T9-T14)/T9</f>
        <v>0.765</v>
      </c>
      <c r="U19" s="9" t="n">
        <f aca="false">(U9-U14)/U9</f>
        <v>0.765</v>
      </c>
    </row>
    <row r="20" customFormat="false" ht="15" hidden="false" customHeight="false" outlineLevel="0" collapsed="false">
      <c r="A20" s="4" t="s">
        <v>104</v>
      </c>
      <c r="B20" s="17" t="n">
        <f aca="false">B17/B10</f>
        <v>0.458749738657746</v>
      </c>
      <c r="C20" s="17" t="n">
        <f aca="false">C17/C10</f>
        <v>0.465780745540092</v>
      </c>
      <c r="D20" s="17" t="n">
        <f aca="false">D17/D10</f>
        <v>0.462571551814589</v>
      </c>
      <c r="E20" s="17" t="n">
        <f aca="false">E17/E10</f>
        <v>0.462224797219004</v>
      </c>
      <c r="F20" s="17" t="n">
        <f aca="false">F17/F10</f>
        <v>0.468825422365245</v>
      </c>
      <c r="G20" s="17" t="n">
        <f aca="false">G17/G10</f>
        <v>0.470506192388762</v>
      </c>
      <c r="H20" s="17" t="n">
        <f aca="false">H17/H10</f>
        <v>0.464907056871836</v>
      </c>
      <c r="I20" s="17" t="n">
        <f aca="false">I17/I10</f>
        <v>0.471776003747585</v>
      </c>
      <c r="J20" s="17" t="n">
        <f aca="false">J17/J10</f>
        <v>0.481586855505162</v>
      </c>
      <c r="K20" s="17" t="n">
        <f aca="false">K17/K10</f>
        <v>0.492705785005037</v>
      </c>
      <c r="L20" s="17" t="n">
        <f aca="false">L17/L10</f>
        <v>0.500562069879452</v>
      </c>
      <c r="M20" s="9" t="n">
        <f aca="false">M17/M10</f>
        <v>0.495836358497593</v>
      </c>
      <c r="N20" s="9" t="n">
        <f aca="false">N17/N10</f>
        <v>0.472426845696264</v>
      </c>
      <c r="O20" s="9" t="n">
        <f aca="false">O17/O10</f>
        <v>0.499579525027091</v>
      </c>
      <c r="P20" s="9" t="n">
        <f aca="false">P17/P10</f>
        <v>0.500134933279283</v>
      </c>
      <c r="Q20" s="9" t="n">
        <f aca="false">Q17/Q10</f>
        <v>0.502057626150236</v>
      </c>
      <c r="R20" s="9" t="n">
        <f aca="false">R17/R10</f>
        <v>0.47908556475715</v>
      </c>
      <c r="S20" s="9" t="n">
        <f aca="false">S17/S10</f>
        <v>0.506139879739419</v>
      </c>
      <c r="T20" s="9" t="n">
        <f aca="false">T17/T10</f>
        <v>0.506706014566654</v>
      </c>
      <c r="U20" s="9" t="n">
        <f aca="false">U17/U10</f>
        <v>0.508665222273427</v>
      </c>
    </row>
    <row r="21" customFormat="false" ht="15" hidden="false" customHeight="false" outlineLevel="0" collapsed="false">
      <c r="A21" s="12" t="s">
        <v>105</v>
      </c>
      <c r="M21" s="13"/>
      <c r="N21" s="13"/>
      <c r="O21" s="13"/>
      <c r="P21" s="13"/>
      <c r="Q21" s="13"/>
      <c r="R21" s="13"/>
      <c r="S21" s="13"/>
      <c r="T21" s="13"/>
      <c r="U21" s="13"/>
    </row>
    <row r="22" customFormat="false" ht="15" hidden="false" customHeight="false" outlineLevel="0" collapsed="false">
      <c r="A22" s="4" t="s">
        <v>106</v>
      </c>
      <c r="B22" s="14" t="n">
        <v>7696</v>
      </c>
      <c r="C22" s="14" t="n">
        <v>7903</v>
      </c>
      <c r="D22" s="14" t="n">
        <v>8006</v>
      </c>
      <c r="E22" s="14" t="n">
        <v>7765</v>
      </c>
      <c r="F22" s="14" t="n">
        <v>8268</v>
      </c>
      <c r="G22" s="14" t="n">
        <v>8550</v>
      </c>
      <c r="H22" s="14" t="n">
        <v>8866</v>
      </c>
      <c r="I22" s="14" t="n">
        <v>8866</v>
      </c>
      <c r="J22" s="14" t="n">
        <v>10887</v>
      </c>
      <c r="K22" s="14" t="n">
        <v>11419</v>
      </c>
      <c r="L22" s="14" t="n">
        <v>11729</v>
      </c>
      <c r="M22" s="10" t="n">
        <f aca="false">M10*Assumptions!M14</f>
        <v>9994.6088</v>
      </c>
      <c r="N22" s="10" t="n">
        <f aca="false">N10*Assumptions!N14</f>
        <v>11804.28732</v>
      </c>
      <c r="O22" s="10" t="n">
        <f aca="false">O10*Assumptions!O14</f>
        <v>12251.69328</v>
      </c>
      <c r="P22" s="10" t="n">
        <f aca="false">P10*Assumptions!P14</f>
        <v>12457.01082</v>
      </c>
      <c r="Q22" s="10" t="n">
        <f aca="false">Q10*Assumptions!Q14</f>
        <v>10615.216347</v>
      </c>
      <c r="R22" s="10" t="n">
        <f aca="false">R10*Assumptions!R14</f>
        <v>12428.32103625</v>
      </c>
      <c r="S22" s="10" t="n">
        <f aca="false">S10*Assumptions!S14</f>
        <v>12913.357828</v>
      </c>
      <c r="T22" s="10" t="n">
        <f aca="false">T10*Assumptions!T14</f>
        <v>13135.597965</v>
      </c>
      <c r="U22" s="10" t="n">
        <f aca="false">U10*Assumptions!U14</f>
        <v>11172.9253218</v>
      </c>
    </row>
    <row r="23" customFormat="false" ht="15" hidden="false" customHeight="false" outlineLevel="0" collapsed="false">
      <c r="A23" s="4" t="s">
        <v>107</v>
      </c>
      <c r="B23" s="14" t="n">
        <v>6786</v>
      </c>
      <c r="C23" s="14" t="n">
        <v>6468</v>
      </c>
      <c r="D23" s="14" t="n">
        <v>6320</v>
      </c>
      <c r="E23" s="14" t="n">
        <v>6523</v>
      </c>
      <c r="F23" s="14" t="n">
        <v>7175</v>
      </c>
      <c r="G23" s="14" t="n">
        <v>6728</v>
      </c>
      <c r="H23" s="14" t="n">
        <v>6650</v>
      </c>
      <c r="I23" s="14" t="n">
        <v>7048</v>
      </c>
      <c r="J23" s="14" t="n">
        <v>7492</v>
      </c>
      <c r="K23" s="14" t="n">
        <v>7477</v>
      </c>
      <c r="L23" s="14" t="n">
        <v>7346</v>
      </c>
      <c r="M23" s="10" t="n">
        <f aca="false">M10*Assumptions!M15</f>
        <v>7723.1068</v>
      </c>
      <c r="N23" s="10" t="n">
        <f aca="false">N10*Assumptions!N15</f>
        <v>8076.61764</v>
      </c>
      <c r="O23" s="10" t="n">
        <f aca="false">O10*Assumptions!O15</f>
        <v>7927.56624</v>
      </c>
      <c r="P23" s="10" t="n">
        <f aca="false">P10*Assumptions!P15</f>
        <v>7756.25202</v>
      </c>
      <c r="Q23" s="10" t="n">
        <f aca="false">Q10*Assumptions!Q15</f>
        <v>8174.936727</v>
      </c>
      <c r="R23" s="10" t="n">
        <f aca="false">R10*Assumptions!R15</f>
        <v>8451.25830465</v>
      </c>
      <c r="S23" s="10" t="n">
        <f aca="false">S10*Assumptions!S15</f>
        <v>8310.57682</v>
      </c>
      <c r="T23" s="10" t="n">
        <f aca="false">T10*Assumptions!T15</f>
        <v>8131.560645</v>
      </c>
      <c r="U23" s="10" t="n">
        <f aca="false">U10*Assumptions!U15</f>
        <v>8574.5705958</v>
      </c>
    </row>
    <row r="24" customFormat="false" ht="15" hidden="false" customHeight="false" outlineLevel="0" collapsed="false">
      <c r="A24" s="7" t="s">
        <v>108</v>
      </c>
      <c r="B24" s="15" t="n">
        <f aca="false">B22+B23</f>
        <v>14482</v>
      </c>
      <c r="C24" s="15" t="n">
        <f aca="false">C22+C23</f>
        <v>14371</v>
      </c>
      <c r="D24" s="15" t="n">
        <f aca="false">D22+D23</f>
        <v>14326</v>
      </c>
      <c r="E24" s="15" t="n">
        <f aca="false">E22+E23</f>
        <v>14288</v>
      </c>
      <c r="F24" s="15" t="n">
        <f aca="false">F22+F23</f>
        <v>15443</v>
      </c>
      <c r="G24" s="15" t="n">
        <f aca="false">G22+G23</f>
        <v>15278</v>
      </c>
      <c r="H24" s="15" t="n">
        <f aca="false">H22+H23</f>
        <v>15516</v>
      </c>
      <c r="I24" s="15" t="n">
        <f aca="false">I22+I23</f>
        <v>15914</v>
      </c>
      <c r="J24" s="15" t="n">
        <f aca="false">J22+J23</f>
        <v>18379</v>
      </c>
      <c r="K24" s="15" t="n">
        <f aca="false">K22+K23</f>
        <v>18896</v>
      </c>
      <c r="L24" s="15" t="n">
        <f aca="false">L22+L23</f>
        <v>19075</v>
      </c>
      <c r="M24" s="16" t="n">
        <f aca="false">M22+M23</f>
        <v>17717.7156</v>
      </c>
      <c r="N24" s="16" t="n">
        <f aca="false">N22+N23</f>
        <v>19880.90496</v>
      </c>
      <c r="O24" s="16" t="n">
        <f aca="false">O22+O23</f>
        <v>20179.25952</v>
      </c>
      <c r="P24" s="16" t="n">
        <f aca="false">P22+P23</f>
        <v>20213.26284</v>
      </c>
      <c r="Q24" s="16" t="n">
        <f aca="false">Q22+Q23</f>
        <v>18790.153074</v>
      </c>
      <c r="R24" s="16" t="n">
        <f aca="false">R22+R23</f>
        <v>20879.5793409</v>
      </c>
      <c r="S24" s="16" t="n">
        <f aca="false">S22+S23</f>
        <v>21223.934648</v>
      </c>
      <c r="T24" s="16" t="n">
        <f aca="false">T22+T23</f>
        <v>21267.15861</v>
      </c>
      <c r="U24" s="16" t="n">
        <f aca="false">U22+U23</f>
        <v>19747.4959176</v>
      </c>
    </row>
    <row r="25" customFormat="false" ht="15" hidden="false" customHeight="false" outlineLevel="0" collapsed="false">
      <c r="A25" s="12" t="s">
        <v>109</v>
      </c>
      <c r="M25" s="13"/>
      <c r="N25" s="13"/>
      <c r="O25" s="13"/>
      <c r="P25" s="13"/>
      <c r="Q25" s="13"/>
      <c r="R25" s="13"/>
      <c r="S25" s="13"/>
      <c r="T25" s="13"/>
      <c r="U25" s="13"/>
    </row>
    <row r="26" customFormat="false" ht="15" hidden="false" customHeight="false" outlineLevel="0" collapsed="false">
      <c r="A26" s="7" t="s">
        <v>110</v>
      </c>
      <c r="B26" s="15" t="n">
        <f aca="false">B17-B24</f>
        <v>40373</v>
      </c>
      <c r="C26" s="15" t="n">
        <f aca="false">C17-C24</f>
        <v>27900</v>
      </c>
      <c r="D26" s="15" t="n">
        <f aca="false">D17-D24</f>
        <v>25352</v>
      </c>
      <c r="E26" s="15" t="n">
        <f aca="false">E17-E24</f>
        <v>29591</v>
      </c>
      <c r="F26" s="15" t="n">
        <f aca="false">F17-F24</f>
        <v>42832</v>
      </c>
      <c r="G26" s="15" t="n">
        <f aca="false">G17-G24</f>
        <v>29589</v>
      </c>
      <c r="H26" s="15" t="n">
        <f aca="false">H17-H24</f>
        <v>28202</v>
      </c>
      <c r="I26" s="15" t="n">
        <f aca="false">I17-I24</f>
        <v>32427</v>
      </c>
      <c r="J26" s="15" t="n">
        <f aca="false">J17-J24</f>
        <v>50852</v>
      </c>
      <c r="K26" s="15" t="n">
        <f aca="false">K17-K24</f>
        <v>35885</v>
      </c>
      <c r="L26" s="15" t="n">
        <f aca="false">L17-L24</f>
        <v>35695</v>
      </c>
      <c r="M26" s="16" t="n">
        <f aca="false">M17-M24</f>
        <v>38596.9484</v>
      </c>
      <c r="N26" s="16" t="n">
        <f aca="false">N17-N24</f>
        <v>53496.22957</v>
      </c>
      <c r="O26" s="16" t="n">
        <f aca="false">O17-O24</f>
        <v>39827.55528</v>
      </c>
      <c r="P26" s="16" t="n">
        <f aca="false">P17-P24</f>
        <v>38562.07938</v>
      </c>
      <c r="Q26" s="16" t="n">
        <f aca="false">Q17-Q24</f>
        <v>42467.896584</v>
      </c>
      <c r="R26" s="16" t="n">
        <f aca="false">R17-R24</f>
        <v>58510.1433609</v>
      </c>
      <c r="S26" s="16" t="n">
        <f aca="false">S17-S24</f>
        <v>43488.593848</v>
      </c>
      <c r="T26" s="16" t="n">
        <f aca="false">T17-T24</f>
        <v>42122.236569</v>
      </c>
      <c r="U26" s="16" t="n">
        <f aca="false">U17-U24</f>
        <v>46337.1382947</v>
      </c>
    </row>
    <row r="27" customFormat="false" ht="15" hidden="false" customHeight="false" outlineLevel="0" collapsed="false">
      <c r="A27" s="4" t="s">
        <v>111</v>
      </c>
      <c r="B27" s="17" t="n">
        <f aca="false">B26/B10</f>
        <v>0.337637466025507</v>
      </c>
      <c r="C27" s="17" t="n">
        <f aca="false">C26/C10</f>
        <v>0.307427853624674</v>
      </c>
      <c r="D27" s="17" t="n">
        <f aca="false">D26/D10</f>
        <v>0.295557084066824</v>
      </c>
      <c r="E27" s="17" t="n">
        <f aca="false">E26/E10</f>
        <v>0.311713894448541</v>
      </c>
      <c r="F27" s="17" t="n">
        <f aca="false">F26/F10</f>
        <v>0.344585679806919</v>
      </c>
      <c r="G27" s="17" t="n">
        <f aca="false">G26/G10</f>
        <v>0.310290586100945</v>
      </c>
      <c r="H27" s="17" t="n">
        <f aca="false">H26/H10</f>
        <v>0.299906418818325</v>
      </c>
      <c r="I27" s="17" t="n">
        <f aca="false">I26/I10</f>
        <v>0.31646594968087</v>
      </c>
      <c r="J27" s="17" t="n">
        <f aca="false">J26/J10</f>
        <v>0.353738278750104</v>
      </c>
      <c r="K27" s="17" t="n">
        <f aca="false">K26/K10</f>
        <v>0.322753273852353</v>
      </c>
      <c r="L27" s="17" t="n">
        <f aca="false">L26/L10</f>
        <v>0.326229013772997</v>
      </c>
      <c r="M27" s="9" t="n">
        <f aca="false">M26/M10</f>
        <v>0.339836358497593</v>
      </c>
      <c r="N27" s="9" t="n">
        <f aca="false">N26/N10</f>
        <v>0.344426845696264</v>
      </c>
      <c r="O27" s="9" t="n">
        <f aca="false">O26/O10</f>
        <v>0.331579525027091</v>
      </c>
      <c r="P27" s="9" t="n">
        <f aca="false">P26/P10</f>
        <v>0.328134933279282</v>
      </c>
      <c r="Q27" s="9" t="n">
        <f aca="false">Q26/Q10</f>
        <v>0.348057626150236</v>
      </c>
      <c r="R27" s="9" t="n">
        <f aca="false">R26/R10</f>
        <v>0.35308556475715</v>
      </c>
      <c r="S27" s="9" t="n">
        <f aca="false">S26/S10</f>
        <v>0.340139879739419</v>
      </c>
      <c r="T27" s="9" t="n">
        <f aca="false">T26/T10</f>
        <v>0.336706014566654</v>
      </c>
      <c r="U27" s="9" t="n">
        <f aca="false">U26/U10</f>
        <v>0.356665222273427</v>
      </c>
    </row>
    <row r="28" customFormat="false" ht="15" hidden="false" customHeight="false" outlineLevel="0" collapsed="false">
      <c r="A28" s="12" t="s">
        <v>112</v>
      </c>
      <c r="M28" s="13"/>
      <c r="N28" s="13"/>
      <c r="O28" s="13"/>
      <c r="P28" s="13"/>
      <c r="Q28" s="13"/>
      <c r="R28" s="13"/>
      <c r="S28" s="13"/>
      <c r="T28" s="13"/>
      <c r="U28" s="13"/>
    </row>
    <row r="29" customFormat="false" ht="15" hidden="false" customHeight="false" outlineLevel="0" collapsed="false">
      <c r="A29" s="4" t="s">
        <v>113</v>
      </c>
      <c r="B29" s="14" t="n">
        <v>-50</v>
      </c>
      <c r="C29" s="14" t="n">
        <v>158</v>
      </c>
      <c r="D29" s="14" t="n">
        <v>142</v>
      </c>
      <c r="E29" s="14" t="n">
        <v>19</v>
      </c>
      <c r="F29" s="14" t="n">
        <v>-248</v>
      </c>
      <c r="G29" s="14" t="n">
        <v>-279</v>
      </c>
      <c r="H29" s="14" t="n">
        <v>-171</v>
      </c>
      <c r="I29" s="14" t="n">
        <v>377</v>
      </c>
      <c r="J29" s="14" t="n">
        <v>150</v>
      </c>
      <c r="K29" s="14" t="n">
        <v>-52</v>
      </c>
      <c r="L29" s="14" t="n">
        <v>572</v>
      </c>
      <c r="M29" s="10" t="n">
        <f aca="false">Assumptions!M17</f>
        <v>100</v>
      </c>
      <c r="N29" s="10" t="n">
        <f aca="false">Assumptions!N17</f>
        <v>150</v>
      </c>
      <c r="O29" s="10" t="n">
        <f aca="false">Assumptions!O17</f>
        <v>100</v>
      </c>
      <c r="P29" s="10" t="n">
        <f aca="false">Assumptions!P17</f>
        <v>100</v>
      </c>
      <c r="Q29" s="10" t="n">
        <f aca="false">Assumptions!Q17</f>
        <v>150</v>
      </c>
      <c r="R29" s="10" t="n">
        <f aca="false">Assumptions!R17</f>
        <v>150</v>
      </c>
      <c r="S29" s="10" t="n">
        <f aca="false">Assumptions!S17</f>
        <v>100</v>
      </c>
      <c r="T29" s="10" t="n">
        <f aca="false">Assumptions!T17</f>
        <v>100</v>
      </c>
      <c r="U29" s="10" t="n">
        <f aca="false">Assumptions!U17</f>
        <v>150</v>
      </c>
    </row>
    <row r="30" customFormat="false" ht="15" hidden="false" customHeight="false" outlineLevel="0" collapsed="false">
      <c r="A30" s="7" t="s">
        <v>114</v>
      </c>
      <c r="B30" s="15" t="n">
        <f aca="false">B26+B29</f>
        <v>40323</v>
      </c>
      <c r="C30" s="15" t="n">
        <f aca="false">C26+C29</f>
        <v>28058</v>
      </c>
      <c r="D30" s="15" t="n">
        <f aca="false">D26+D29</f>
        <v>25494</v>
      </c>
      <c r="E30" s="15" t="n">
        <f aca="false">E26+E29</f>
        <v>29610</v>
      </c>
      <c r="F30" s="15" t="n">
        <f aca="false">F26+F29</f>
        <v>42584</v>
      </c>
      <c r="G30" s="15" t="n">
        <f aca="false">G26+G29</f>
        <v>29310</v>
      </c>
      <c r="H30" s="15" t="n">
        <f aca="false">H26+H29</f>
        <v>28031</v>
      </c>
      <c r="I30" s="15" t="n">
        <f aca="false">I26+I29</f>
        <v>32804</v>
      </c>
      <c r="J30" s="15" t="n">
        <f aca="false">J26+J29</f>
        <v>51002</v>
      </c>
      <c r="K30" s="15" t="n">
        <f aca="false">K26+K29</f>
        <v>35833</v>
      </c>
      <c r="L30" s="15" t="n">
        <f aca="false">L26+L29</f>
        <v>36267</v>
      </c>
      <c r="M30" s="16" t="n">
        <f aca="false">M26+M29</f>
        <v>38696.9484</v>
      </c>
      <c r="N30" s="16" t="n">
        <f aca="false">N26+N29</f>
        <v>53646.22957</v>
      </c>
      <c r="O30" s="16" t="n">
        <f aca="false">O26+O29</f>
        <v>39927.55528</v>
      </c>
      <c r="P30" s="16" t="n">
        <f aca="false">P26+P29</f>
        <v>38662.07938</v>
      </c>
      <c r="Q30" s="16" t="n">
        <f aca="false">Q26+Q29</f>
        <v>42617.896584</v>
      </c>
      <c r="R30" s="16" t="n">
        <f aca="false">R26+R29</f>
        <v>58660.1433609</v>
      </c>
      <c r="S30" s="16" t="n">
        <f aca="false">S26+S29</f>
        <v>43588.593848</v>
      </c>
      <c r="T30" s="16" t="n">
        <f aca="false">T26+T29</f>
        <v>42222.236569</v>
      </c>
      <c r="U30" s="16" t="n">
        <f aca="false">U26+U29</f>
        <v>46487.1382947</v>
      </c>
    </row>
    <row r="31" customFormat="false" ht="15" hidden="false" customHeight="false" outlineLevel="0" collapsed="false">
      <c r="A31" s="4" t="s">
        <v>115</v>
      </c>
      <c r="B31" s="14" t="n">
        <v>6407</v>
      </c>
      <c r="C31" s="14" t="n">
        <v>4422</v>
      </c>
      <c r="D31" s="14" t="n">
        <v>4046</v>
      </c>
      <c r="E31" s="14" t="n">
        <v>14874</v>
      </c>
      <c r="F31" s="14" t="n">
        <v>6254</v>
      </c>
      <c r="G31" s="14" t="n">
        <v>4530</v>
      </c>
      <c r="H31" s="14" t="n">
        <v>4597</v>
      </c>
      <c r="I31" s="14" t="n">
        <v>5338</v>
      </c>
      <c r="J31" s="14" t="n">
        <v>8905</v>
      </c>
      <c r="K31" s="14" t="n">
        <v>6255</v>
      </c>
      <c r="L31" s="14" t="n">
        <v>6478</v>
      </c>
      <c r="M31" s="10" t="n">
        <f aca="false">M30*Assumptions!M19</f>
        <v>6771.96597</v>
      </c>
      <c r="N31" s="10" t="n">
        <f aca="false">N30*Assumptions!N19</f>
        <v>9388.09017475</v>
      </c>
      <c r="O31" s="10" t="n">
        <f aca="false">O30*Assumptions!O19</f>
        <v>6987.322174</v>
      </c>
      <c r="P31" s="10" t="n">
        <f aca="false">P30*Assumptions!P19</f>
        <v>6765.8638915</v>
      </c>
      <c r="Q31" s="10" t="n">
        <f aca="false">Q30*Assumptions!Q19</f>
        <v>7458.1319022</v>
      </c>
      <c r="R31" s="10" t="n">
        <f aca="false">R30*Assumptions!R19</f>
        <v>10324.1852315184</v>
      </c>
      <c r="S31" s="10" t="n">
        <f aca="false">S30*Assumptions!S19</f>
        <v>7671.592517248</v>
      </c>
      <c r="T31" s="10" t="n">
        <f aca="false">T30*Assumptions!T19</f>
        <v>7431.113636144</v>
      </c>
      <c r="U31" s="10" t="n">
        <f aca="false">U30*Assumptions!U19</f>
        <v>8181.7363398672</v>
      </c>
    </row>
    <row r="32" customFormat="false" ht="15" hidden="false" customHeight="false" outlineLevel="0" collapsed="false">
      <c r="A32" s="4" t="s">
        <v>116</v>
      </c>
      <c r="B32" s="17" t="n">
        <f aca="false">B31/B30</f>
        <v>0.158891947523746</v>
      </c>
      <c r="C32" s="17" t="n">
        <f aca="false">C31/C30</f>
        <v>0.157602109915176</v>
      </c>
      <c r="D32" s="17" t="n">
        <f aca="false">D31/D30</f>
        <v>0.158704008786381</v>
      </c>
      <c r="E32" s="17" t="n">
        <f aca="false">E31/E30</f>
        <v>0.502330293819656</v>
      </c>
      <c r="F32" s="17" t="n">
        <f aca="false">F31/F30</f>
        <v>0.146862671425888</v>
      </c>
      <c r="G32" s="17" t="n">
        <f aca="false">G31/G30</f>
        <v>0.154554759467758</v>
      </c>
      <c r="H32" s="17" t="n">
        <f aca="false">H31/H30</f>
        <v>0.163997003317755</v>
      </c>
      <c r="I32" s="17" t="n">
        <f aca="false">I31/I30</f>
        <v>0.162724058041702</v>
      </c>
      <c r="J32" s="17" t="n">
        <f aca="false">J31/J30</f>
        <v>0.174600996039371</v>
      </c>
      <c r="K32" s="17" t="n">
        <f aca="false">K31/K30</f>
        <v>0.174559763346636</v>
      </c>
      <c r="L32" s="17" t="n">
        <f aca="false">L31/L30</f>
        <v>0.178619681804395</v>
      </c>
      <c r="M32" s="9" t="n">
        <f aca="false">M31/M30</f>
        <v>0.175</v>
      </c>
      <c r="N32" s="9" t="n">
        <f aca="false">N31/N30</f>
        <v>0.175</v>
      </c>
      <c r="O32" s="9" t="n">
        <f aca="false">O31/O30</f>
        <v>0.175</v>
      </c>
      <c r="P32" s="9" t="n">
        <f aca="false">P31/P30</f>
        <v>0.175</v>
      </c>
      <c r="Q32" s="9" t="n">
        <f aca="false">Q31/Q30</f>
        <v>0.175</v>
      </c>
      <c r="R32" s="9" t="n">
        <f aca="false">R31/R30</f>
        <v>0.176</v>
      </c>
      <c r="S32" s="9" t="n">
        <f aca="false">S31/S30</f>
        <v>0.176</v>
      </c>
      <c r="T32" s="9" t="n">
        <f aca="false">T31/T30</f>
        <v>0.176</v>
      </c>
      <c r="U32" s="9" t="n">
        <f aca="false">U31/U30</f>
        <v>0.176</v>
      </c>
    </row>
    <row r="33" customFormat="false" ht="15" hidden="false" customHeight="false" outlineLevel="0" collapsed="false">
      <c r="A33" s="7" t="s">
        <v>117</v>
      </c>
      <c r="B33" s="15" t="n">
        <f aca="false">B30-B31</f>
        <v>33916</v>
      </c>
      <c r="C33" s="15" t="n">
        <f aca="false">C30-C31</f>
        <v>23636</v>
      </c>
      <c r="D33" s="15" t="n">
        <f aca="false">D30-D31</f>
        <v>21448</v>
      </c>
      <c r="E33" s="15" t="n">
        <f aca="false">E30-E31</f>
        <v>14736</v>
      </c>
      <c r="F33" s="15" t="n">
        <f aca="false">F30-F31</f>
        <v>36330</v>
      </c>
      <c r="G33" s="15" t="n">
        <f aca="false">G30-G31</f>
        <v>24780</v>
      </c>
      <c r="H33" s="15" t="n">
        <f aca="false">H30-H31</f>
        <v>23434</v>
      </c>
      <c r="I33" s="15" t="n">
        <f aca="false">I30-I31</f>
        <v>27466</v>
      </c>
      <c r="J33" s="15" t="n">
        <f aca="false">J30-J31</f>
        <v>42097</v>
      </c>
      <c r="K33" s="15" t="n">
        <f aca="false">K30-K31</f>
        <v>29578</v>
      </c>
      <c r="L33" s="15" t="n">
        <f aca="false">L30-L31</f>
        <v>29789</v>
      </c>
      <c r="M33" s="16" t="n">
        <f aca="false">M30-M31</f>
        <v>31924.98243</v>
      </c>
      <c r="N33" s="16" t="n">
        <f aca="false">N30-N31</f>
        <v>44258.13939525</v>
      </c>
      <c r="O33" s="16" t="n">
        <f aca="false">O30-O31</f>
        <v>32940.233106</v>
      </c>
      <c r="P33" s="16" t="n">
        <f aca="false">P30-P31</f>
        <v>31896.2154885</v>
      </c>
      <c r="Q33" s="16" t="n">
        <f aca="false">Q30-Q31</f>
        <v>35159.7646818</v>
      </c>
      <c r="R33" s="16" t="n">
        <f aca="false">R30-R31</f>
        <v>48335.9581293816</v>
      </c>
      <c r="S33" s="16" t="n">
        <f aca="false">S30-S31</f>
        <v>35917.001330752</v>
      </c>
      <c r="T33" s="16" t="n">
        <f aca="false">T30-T31</f>
        <v>34791.122932856</v>
      </c>
      <c r="U33" s="16" t="n">
        <f aca="false">U30-U31</f>
        <v>38305.4019548328</v>
      </c>
    </row>
    <row r="34" customFormat="false" ht="15" hidden="false" customHeight="false" outlineLevel="0" collapsed="false">
      <c r="A34" s="4" t="s">
        <v>118</v>
      </c>
      <c r="B34" s="17" t="n">
        <f aca="false">B33/B10</f>
        <v>0.283637884173113</v>
      </c>
      <c r="C34" s="17" t="n">
        <f aca="false">C33/C10</f>
        <v>0.260443180941677</v>
      </c>
      <c r="D34" s="17" t="n">
        <f aca="false">D33/D10</f>
        <v>0.250043718012987</v>
      </c>
      <c r="E34" s="17" t="n">
        <f aca="false">E33/E10</f>
        <v>0.155230169598652</v>
      </c>
      <c r="F34" s="17" t="n">
        <f aca="false">F33/F10</f>
        <v>0.292276749798874</v>
      </c>
      <c r="G34" s="17" t="n">
        <f aca="false">G33/G10</f>
        <v>0.25986010759341</v>
      </c>
      <c r="H34" s="17" t="n">
        <f aca="false">H33/H10</f>
        <v>0.249202433110724</v>
      </c>
      <c r="I34" s="17" t="n">
        <f aca="false">I33/I10</f>
        <v>0.268049889719517</v>
      </c>
      <c r="J34" s="17" t="n">
        <f aca="false">J33/J10</f>
        <v>0.292836472912435</v>
      </c>
      <c r="K34" s="17" t="n">
        <f aca="false">K33/K10</f>
        <v>0.266027485969204</v>
      </c>
      <c r="L34" s="17" t="n">
        <f aca="false">L33/L10</f>
        <v>0.272252026650338</v>
      </c>
      <c r="M34" s="9" t="n">
        <f aca="false">M33/M10</f>
        <v>0.28109138737276</v>
      </c>
      <c r="N34" s="9" t="n">
        <f aca="false">N33/N10</f>
        <v>0.284948892114819</v>
      </c>
      <c r="O34" s="9" t="n">
        <f aca="false">O33/O10</f>
        <v>0.274239951982539</v>
      </c>
      <c r="P34" s="9" t="n">
        <f aca="false">P33/P10</f>
        <v>0.271413334277011</v>
      </c>
      <c r="Q34" s="9" t="n">
        <f aca="false">Q33/Q10</f>
        <v>0.28816176960737</v>
      </c>
      <c r="R34" s="9" t="n">
        <f aca="false">R33/R10</f>
        <v>0.291688382455677</v>
      </c>
      <c r="S34" s="9" t="n">
        <f aca="false">S33/S10</f>
        <v>0.280919740839226</v>
      </c>
      <c r="T34" s="9" t="n">
        <f aca="false">T33/T10</f>
        <v>0.278104424152105</v>
      </c>
      <c r="U34" s="9" t="n">
        <f aca="false">U33/U10</f>
        <v>0.294843514409609</v>
      </c>
    </row>
    <row r="35" customFormat="false" ht="15" hidden="false" customHeight="false" outlineLevel="0" collapsed="false">
      <c r="A35" s="4" t="s">
        <v>95</v>
      </c>
      <c r="B35" s="17"/>
      <c r="C35" s="17"/>
      <c r="D35" s="17"/>
      <c r="E35" s="17"/>
      <c r="F35" s="17" t="n">
        <f aca="false">F33/B33-1</f>
        <v>0.0711758462082792</v>
      </c>
      <c r="G35" s="17" t="n">
        <f aca="false">G33/C33-1</f>
        <v>0.0484007446268404</v>
      </c>
      <c r="H35" s="17" t="n">
        <f aca="false">H33/D33-1</f>
        <v>0.0925960462513988</v>
      </c>
      <c r="I35" s="17" t="n">
        <f aca="false">I33/E33-1</f>
        <v>0.863870792616721</v>
      </c>
      <c r="J35" s="17" t="n">
        <f aca="false">J33/F33-1</f>
        <v>0.158739333883843</v>
      </c>
      <c r="K35" s="17" t="n">
        <f aca="false">K33/G33-1</f>
        <v>0.19362389023406</v>
      </c>
      <c r="L35" s="17" t="n">
        <f aca="false">L33/H33-1</f>
        <v>0.271187163949816</v>
      </c>
      <c r="M35" s="9" t="n">
        <f aca="false">M33/I33-1</f>
        <v>0.162345533750819</v>
      </c>
      <c r="N35" s="9" t="n">
        <f aca="false">N33/J33-1</f>
        <v>0.0513371355500394</v>
      </c>
      <c r="O35" s="9" t="n">
        <f aca="false">O33/K33-1</f>
        <v>0.113673443302454</v>
      </c>
      <c r="P35" s="9" t="n">
        <f aca="false">P33/L33-1</f>
        <v>0.0707380405015274</v>
      </c>
      <c r="Q35" s="9" t="n">
        <f aca="false">Q33/M33-1</f>
        <v>0.101324480252815</v>
      </c>
      <c r="R35" s="9" t="n">
        <f aca="false">R33/N33-1</f>
        <v>0.0921371478749795</v>
      </c>
      <c r="S35" s="9" t="n">
        <f aca="false">S33/O33-1</f>
        <v>0.0903687662188941</v>
      </c>
      <c r="T35" s="9" t="n">
        <f aca="false">T33/P33-1</f>
        <v>0.0907602171611788</v>
      </c>
      <c r="U35" s="9" t="n">
        <f aca="false">U33/Q33-1</f>
        <v>0.0894669603594103</v>
      </c>
    </row>
    <row r="36" customFormat="false" ht="15" hidden="false" customHeight="false" outlineLevel="0" collapsed="false">
      <c r="A36" s="12" t="s">
        <v>119</v>
      </c>
      <c r="M36" s="13"/>
      <c r="N36" s="13"/>
      <c r="O36" s="13"/>
      <c r="P36" s="13"/>
      <c r="Q36" s="13"/>
      <c r="R36" s="13"/>
      <c r="S36" s="13"/>
      <c r="T36" s="13"/>
      <c r="U36" s="13"/>
    </row>
    <row r="37" customFormat="false" ht="15" hidden="false" customHeight="false" outlineLevel="0" collapsed="false">
      <c r="A37" s="4" t="s">
        <v>120</v>
      </c>
      <c r="B37" s="18" t="n">
        <f aca="false">B33*1000/B40</f>
        <v>2.18675166087322</v>
      </c>
      <c r="C37" s="18" t="n">
        <f aca="false">C33*1000/C40</f>
        <v>1.53422179202506</v>
      </c>
      <c r="D37" s="18" t="n">
        <f aca="false">D33*1000/D40</f>
        <v>1.40297436059123</v>
      </c>
      <c r="E37" s="18" t="n">
        <f aca="false">E33*1000/E40</f>
        <v>0.971263492791651</v>
      </c>
      <c r="F37" s="18" t="n">
        <f aca="false">F33*1000/F40</f>
        <v>2.40887580226239</v>
      </c>
      <c r="G37" s="18" t="n">
        <f aca="false">G33*1000/G40</f>
        <v>1.65265202631278</v>
      </c>
      <c r="H37" s="18" t="n">
        <f aca="false">H33*1000/H40</f>
        <v>1.57244710856676</v>
      </c>
      <c r="I37" s="18" t="n">
        <f aca="false">I33*1000/I40</f>
        <v>1.85389340902622</v>
      </c>
      <c r="J37" s="18" t="n">
        <f aca="false">J33*1000/J40</f>
        <v>2.85439035844341</v>
      </c>
      <c r="K37" s="18" t="n">
        <f aca="false">K33*1000/K40</f>
        <v>2.01577316261574</v>
      </c>
      <c r="L37" s="18" t="n">
        <f aca="false">L33*1000/L40</f>
        <v>2.03253114230174</v>
      </c>
      <c r="M37" s="19" t="n">
        <f aca="false">M33*1000/M40</f>
        <v>2.19645740143814</v>
      </c>
      <c r="N37" s="19" t="n">
        <f aca="false">N33*1000/N40</f>
        <v>3.04972327372012</v>
      </c>
      <c r="O37" s="19" t="n">
        <f aca="false">O33*1000/O40</f>
        <v>2.28285536707626</v>
      </c>
      <c r="P37" s="19" t="n">
        <f aca="false">P33*1000/P40</f>
        <v>2.20993805454343</v>
      </c>
      <c r="Q37" s="19" t="n">
        <f aca="false">Q33*1000/Q40</f>
        <v>2.45585005688965</v>
      </c>
      <c r="R37" s="19" t="n">
        <f aca="false">R33*1000/R40</f>
        <v>3.37458569196417</v>
      </c>
      <c r="S37" s="19" t="n">
        <f aca="false">S33*1000/S40</f>
        <v>2.52193940228482</v>
      </c>
      <c r="T37" s="19" t="n">
        <f aca="false">T33*1000/T40</f>
        <v>2.43978999219286</v>
      </c>
      <c r="U37" s="19" t="n">
        <f aca="false">U33*1000/U40</f>
        <v>2.70806426779155</v>
      </c>
    </row>
    <row r="38" customFormat="false" ht="15" hidden="false" customHeight="false" outlineLevel="0" collapsed="false">
      <c r="A38" s="4" t="s">
        <v>121</v>
      </c>
      <c r="B38" s="18" t="n">
        <f aca="false">B33*1000/B41</f>
        <v>2.17736288587507</v>
      </c>
      <c r="C38" s="18" t="n">
        <f aca="false">C33*1000/C41</f>
        <v>1.52838310762912</v>
      </c>
      <c r="D38" s="18" t="n">
        <f aca="false">D33*1000/D41</f>
        <v>1.39742998760439</v>
      </c>
      <c r="E38" s="18" t="n">
        <f aca="false">E33*1000/E41</f>
        <v>0.966748154036518</v>
      </c>
      <c r="F38" s="18" t="n">
        <f aca="false">F33*1000/F41</f>
        <v>2.39788289315495</v>
      </c>
      <c r="G38" s="18" t="n">
        <f aca="false">G33*1000/G41</f>
        <v>1.64584093405657</v>
      </c>
      <c r="H38" s="18" t="n">
        <f aca="false">H33*1000/H41</f>
        <v>1.56768259197324</v>
      </c>
      <c r="I38" s="18" t="n">
        <f aca="false">I33*1000/I41</f>
        <v>1.84786884531206</v>
      </c>
      <c r="J38" s="18" t="n">
        <f aca="false">J33*1000/J41</f>
        <v>2.8424029780243</v>
      </c>
      <c r="K38" s="18" t="n">
        <f aca="false">K33*1000/K41</f>
        <v>2.00857361733325</v>
      </c>
      <c r="L38" s="18" t="n">
        <f aca="false">L33*1000/L41</f>
        <v>2.02444144879575</v>
      </c>
      <c r="M38" s="19" t="n">
        <f aca="false">M33*1000/M41</f>
        <v>2.1872322803521</v>
      </c>
      <c r="N38" s="19" t="n">
        <f aca="false">N33*1000/N41</f>
        <v>3.03691443597049</v>
      </c>
      <c r="O38" s="19" t="n">
        <f aca="false">O33*1000/O41</f>
        <v>2.27326737453454</v>
      </c>
      <c r="P38" s="19" t="n">
        <f aca="false">P33*1000/P41</f>
        <v>2.20065631471435</v>
      </c>
      <c r="Q38" s="19" t="n">
        <f aca="false">Q33*1000/Q41</f>
        <v>2.44553548665072</v>
      </c>
      <c r="R38" s="19" t="n">
        <f aca="false">R33*1000/R41</f>
        <v>3.36041243205792</v>
      </c>
      <c r="S38" s="19" t="n">
        <f aca="false">S33*1000/S41</f>
        <v>2.51134725679523</v>
      </c>
      <c r="T38" s="19" t="n">
        <f aca="false">T33*1000/T41</f>
        <v>2.42954287422565</v>
      </c>
      <c r="U38" s="19" t="n">
        <f aca="false">U33*1000/U41</f>
        <v>2.69669039786683</v>
      </c>
    </row>
    <row r="39" customFormat="false" ht="15" hidden="false" customHeight="false" outlineLevel="0" collapsed="false">
      <c r="M39" s="13"/>
      <c r="N39" s="13"/>
      <c r="O39" s="13"/>
      <c r="P39" s="13"/>
      <c r="Q39" s="13"/>
      <c r="R39" s="13"/>
      <c r="S39" s="13"/>
      <c r="T39" s="13"/>
      <c r="U39" s="13"/>
    </row>
    <row r="40" customFormat="false" ht="15" hidden="false" customHeight="false" outlineLevel="0" collapsed="false">
      <c r="A40" s="4" t="s">
        <v>122</v>
      </c>
      <c r="B40" s="20" t="n">
        <v>15509763</v>
      </c>
      <c r="C40" s="20" t="n">
        <v>15405856</v>
      </c>
      <c r="D40" s="20" t="n">
        <v>15287521</v>
      </c>
      <c r="E40" s="20" t="n">
        <v>15171990</v>
      </c>
      <c r="F40" s="20" t="n">
        <v>15081724</v>
      </c>
      <c r="G40" s="20" t="n">
        <v>14994082</v>
      </c>
      <c r="H40" s="20" t="n">
        <v>14902886</v>
      </c>
      <c r="I40" s="20" t="n">
        <v>14815307</v>
      </c>
      <c r="J40" s="20" t="n">
        <v>14748158</v>
      </c>
      <c r="K40" s="20" t="n">
        <v>14673278</v>
      </c>
      <c r="L40" s="20" t="n">
        <v>14656110</v>
      </c>
      <c r="M40" s="21" t="n">
        <f aca="false">M41*Assumptions!M22</f>
        <v>14534760.5690404</v>
      </c>
      <c r="N40" s="21" t="n">
        <f aca="false">N41*Assumptions!N22</f>
        <v>14512182.0647232</v>
      </c>
      <c r="O40" s="21" t="n">
        <f aca="false">O41*Assumptions!O22</f>
        <v>14429399.9440656</v>
      </c>
      <c r="P40" s="21" t="n">
        <f aca="false">P41*Assumptions!P22</f>
        <v>14433081.245388</v>
      </c>
      <c r="Q40" s="21" t="n">
        <f aca="false">Q41*Assumptions!Q22</f>
        <v>14316739.1605048</v>
      </c>
      <c r="R40" s="21" t="n">
        <f aca="false">R41*Assumptions!R22</f>
        <v>14323523.6978818</v>
      </c>
      <c r="S40" s="21" t="n">
        <f aca="false">S41*Assumptions!S22</f>
        <v>14241817.7447927</v>
      </c>
      <c r="T40" s="21" t="n">
        <f aca="false">T41*Assumptions!T22</f>
        <v>14259884.2704433</v>
      </c>
      <c r="U40" s="21" t="n">
        <f aca="false">U41*Assumptions!U22</f>
        <v>14144938.2905787</v>
      </c>
    </row>
    <row r="41" customFormat="false" ht="15" hidden="false" customHeight="false" outlineLevel="0" collapsed="false">
      <c r="A41" s="4" t="s">
        <v>123</v>
      </c>
      <c r="B41" s="20" t="n">
        <v>15576641</v>
      </c>
      <c r="C41" s="20" t="n">
        <v>15464709</v>
      </c>
      <c r="D41" s="20" t="n">
        <v>15348175</v>
      </c>
      <c r="E41" s="20" t="n">
        <v>15242853</v>
      </c>
      <c r="F41" s="20" t="n">
        <v>15150865</v>
      </c>
      <c r="G41" s="20" t="n">
        <v>15056133</v>
      </c>
      <c r="H41" s="20" t="n">
        <v>14948179</v>
      </c>
      <c r="I41" s="20" t="n">
        <v>14863609</v>
      </c>
      <c r="J41" s="20" t="n">
        <v>14810356</v>
      </c>
      <c r="K41" s="20" t="n">
        <v>14725873</v>
      </c>
      <c r="L41" s="20" t="n">
        <v>14714676</v>
      </c>
      <c r="M41" s="21" t="n">
        <f aca="false">I41*(1+Assumptions!M21)</f>
        <v>14596064.038</v>
      </c>
      <c r="N41" s="21" t="n">
        <f aca="false">J41*(1+Assumptions!N21)</f>
        <v>14573390.304</v>
      </c>
      <c r="O41" s="21" t="n">
        <f aca="false">K41*(1+Assumptions!O21)</f>
        <v>14490259.032</v>
      </c>
      <c r="P41" s="21" t="n">
        <f aca="false">L41*(1+Assumptions!P21)</f>
        <v>14493955.86</v>
      </c>
      <c r="Q41" s="21" t="n">
        <f aca="false">M41*(1+Assumptions!Q21)</f>
        <v>14377123.07743</v>
      </c>
      <c r="R41" s="21" t="n">
        <f aca="false">N41*(1+Assumptions!R21)</f>
        <v>14383936.230048</v>
      </c>
      <c r="S41" s="21" t="n">
        <f aca="false">O41*(1+Assumptions!S21)</f>
        <v>14301885.664584</v>
      </c>
      <c r="T41" s="21" t="n">
        <f aca="false">P41*(1+Assumptions!T21)</f>
        <v>14320028.38968</v>
      </c>
      <c r="U41" s="21" t="n">
        <f aca="false">Q41*(1+Assumptions!U21)</f>
        <v>14204597.6005008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15" hidden="false" customHeight="false" outlineLevel="0" collapsed="false">
      <c r="B4" s="22" t="s">
        <v>126</v>
      </c>
      <c r="C4" s="22" t="s">
        <v>127</v>
      </c>
      <c r="D4" s="22" t="s">
        <v>128</v>
      </c>
      <c r="E4" s="23" t="s">
        <v>129</v>
      </c>
      <c r="F4" s="23" t="s">
        <v>130</v>
      </c>
    </row>
    <row r="5" customFormat="false" ht="23.85" hidden="false" customHeight="false" outlineLevel="0" collapsed="false">
      <c r="B5" s="22" t="s">
        <v>77</v>
      </c>
      <c r="C5" s="22" t="s">
        <v>77</v>
      </c>
      <c r="D5" s="22" t="s">
        <v>131</v>
      </c>
      <c r="E5" s="23" t="s">
        <v>78</v>
      </c>
      <c r="F5" s="23" t="s">
        <v>78</v>
      </c>
    </row>
    <row r="6" customFormat="false" ht="15" hidden="false" customHeight="false" outlineLevel="0" collapsed="false">
      <c r="A6" s="12" t="s">
        <v>91</v>
      </c>
      <c r="E6" s="13"/>
      <c r="F6" s="13"/>
    </row>
    <row r="7" customFormat="false" ht="15" hidden="false" customHeight="false" outlineLevel="0" collapsed="false">
      <c r="A7" s="4" t="s">
        <v>92</v>
      </c>
      <c r="B7" s="14" t="n">
        <f aca="false">'Quarterly Income Statement'!B8+'Quarterly Income Statement'!C8+'Quarterly Income Statement'!D8+'Quarterly Income Statement'!E8</f>
        <v>294866</v>
      </c>
      <c r="C7" s="14" t="n">
        <f aca="false">'Quarterly Income Statement'!F8+'Quarterly Income Statement'!G8+'Quarterly Income Statement'!H8+'Quarterly Income Statement'!I8</f>
        <v>307003</v>
      </c>
      <c r="D7" s="14" t="n">
        <f aca="false">'Quarterly Income Statement'!J8+'Quarterly Income Statement'!K8+'Quarterly Income Statement'!L8+'Quarterly Income Statement'!M8</f>
        <v>353716.6</v>
      </c>
      <c r="E7" s="10" t="n">
        <f aca="false">'Quarterly Income Statement'!N8+'Quarterly Income Statement'!O8+'Quarterly Income Statement'!P8+'Quarterly Income Statement'!Q8</f>
        <v>376478.066</v>
      </c>
      <c r="F7" s="10" t="n">
        <f aca="false">'Quarterly Income Statement'!R8+'Quarterly Income Statement'!S8+'Quarterly Income Statement'!T8+'Quarterly Income Statement'!U8</f>
        <v>395910.49435</v>
      </c>
    </row>
    <row r="8" customFormat="false" ht="15" hidden="false" customHeight="false" outlineLevel="0" collapsed="false">
      <c r="A8" s="4" t="s">
        <v>93</v>
      </c>
      <c r="B8" s="14" t="n">
        <f aca="false">'Quarterly Income Statement'!B9+'Quarterly Income Statement'!C9+'Quarterly Income Statement'!D9+'Quarterly Income Statement'!E9</f>
        <v>96169</v>
      </c>
      <c r="C8" s="14" t="n">
        <f aca="false">'Quarterly Income Statement'!F9+'Quarterly Income Statement'!G9+'Quarterly Income Statement'!H9+'Quarterly Income Statement'!I9</f>
        <v>109158</v>
      </c>
      <c r="D8" s="14" t="n">
        <f aca="false">'Quarterly Income Statement'!J9+'Quarterly Income Statement'!K9+'Quarterly Income Statement'!L9+'Quarterly Income Statement'!M9</f>
        <v>124215.5</v>
      </c>
      <c r="E8" s="10" t="n">
        <f aca="false">'Quarterly Income Statement'!N9+'Quarterly Income Statement'!O9+'Quarterly Income Statement'!P9+'Quarterly Income Statement'!Q9</f>
        <v>138489.095</v>
      </c>
      <c r="F8" s="10" t="n">
        <f aca="false">'Quarterly Income Statement'!R9+'Quarterly Income Statement'!S9+'Quarterly Income Statement'!T9+'Quarterly Income Statement'!U9</f>
        <v>152674.1501</v>
      </c>
    </row>
    <row r="9" customFormat="false" ht="15" hidden="false" customHeight="false" outlineLevel="0" collapsed="false">
      <c r="A9" s="7" t="s">
        <v>94</v>
      </c>
      <c r="B9" s="15" t="n">
        <f aca="false">B7+B8</f>
        <v>391035</v>
      </c>
      <c r="C9" s="15" t="n">
        <f aca="false">C7+C8</f>
        <v>416161</v>
      </c>
      <c r="D9" s="15" t="n">
        <f aca="false">D7+D8</f>
        <v>477932.1</v>
      </c>
      <c r="E9" s="16" t="n">
        <f aca="false">E7+E8</f>
        <v>514967.161</v>
      </c>
      <c r="F9" s="16" t="n">
        <f aca="false">F7+F8</f>
        <v>548584.64445</v>
      </c>
    </row>
    <row r="10" customFormat="false" ht="15" hidden="false" customHeight="false" outlineLevel="0" collapsed="false">
      <c r="A10" s="4" t="s">
        <v>95</v>
      </c>
      <c r="B10" s="17"/>
      <c r="C10" s="17" t="n">
        <f aca="false">C9/B9-1</f>
        <v>0.0642551178283275</v>
      </c>
      <c r="D10" s="17" t="n">
        <f aca="false">D9/C9-1</f>
        <v>0.148430775589255</v>
      </c>
      <c r="E10" s="9" t="n">
        <f aca="false">E9/D9-1</f>
        <v>0.0774902146141683</v>
      </c>
      <c r="F10" s="9" t="n">
        <f aca="false">F9/E9-1</f>
        <v>0.0652808295284677</v>
      </c>
    </row>
    <row r="11" customFormat="false" ht="15" hidden="false" customHeight="false" outlineLevel="0" collapsed="false">
      <c r="A11" s="12" t="s">
        <v>96</v>
      </c>
      <c r="E11" s="13"/>
      <c r="F11" s="13"/>
    </row>
    <row r="12" customFormat="false" ht="15" hidden="false" customHeight="false" outlineLevel="0" collapsed="false">
      <c r="A12" s="4" t="s">
        <v>97</v>
      </c>
      <c r="B12" s="14" t="n">
        <f aca="false">'Quarterly Income Statement'!B13+'Quarterly Income Statement'!C13+'Quarterly Income Statement'!D13+'Quarterly Income Statement'!E13</f>
        <v>185233</v>
      </c>
      <c r="C12" s="14" t="n">
        <f aca="false">'Quarterly Income Statement'!F13+'Quarterly Income Statement'!G13+'Quarterly Income Statement'!H13+'Quarterly Income Statement'!I13</f>
        <v>194116</v>
      </c>
      <c r="D12" s="14" t="n">
        <f aca="false">'Quarterly Income Statement'!J13+'Quarterly Income Statement'!K13+'Quarterly Income Statement'!L13+'Quarterly Income Statement'!M13</f>
        <v>213273.436</v>
      </c>
      <c r="E12" s="10" t="n">
        <f aca="false">'Quarterly Income Statement'!N13+'Quarterly Income Statement'!O13+'Quarterly Income Statement'!P13+'Quarterly Income Statement'!Q13</f>
        <v>228522.186062</v>
      </c>
      <c r="F12" s="10" t="n">
        <f aca="false">'Quarterly Income Statement'!R13+'Quarterly Income Statement'!S13+'Quarterly Income Statement'!T13+'Quarterly Income Statement'!U13</f>
        <v>239129.9385874</v>
      </c>
    </row>
    <row r="13" customFormat="false" ht="15" hidden="false" customHeight="false" outlineLevel="0" collapsed="false">
      <c r="A13" s="4" t="s">
        <v>98</v>
      </c>
      <c r="B13" s="14" t="n">
        <f aca="false">'Quarterly Income Statement'!B14+'Quarterly Income Statement'!C14+'Quarterly Income Statement'!D14+'Quarterly Income Statement'!E14</f>
        <v>25119</v>
      </c>
      <c r="C13" s="14" t="n">
        <f aca="false">'Quarterly Income Statement'!F14+'Quarterly Income Statement'!G14+'Quarterly Income Statement'!H14+'Quarterly Income Statement'!I14</f>
        <v>26844</v>
      </c>
      <c r="D13" s="14" t="n">
        <f aca="false">'Quarterly Income Statement'!J14+'Quarterly Income Statement'!K14+'Quarterly Income Statement'!L14+'Quarterly Income Statement'!M14</f>
        <v>29562</v>
      </c>
      <c r="E13" s="10" t="n">
        <f aca="false">'Quarterly Income Statement'!N14+'Quarterly Income Statement'!O14+'Quarterly Income Statement'!P14+'Quarterly Income Statement'!Q14</f>
        <v>33027.63373</v>
      </c>
      <c r="F13" s="10" t="n">
        <f aca="false">'Quarterly Income Statement'!R14+'Quarterly Income Statement'!S14+'Quarterly Income Statement'!T14+'Quarterly Income Statement'!U14</f>
        <v>35878.4252735</v>
      </c>
    </row>
    <row r="14" customFormat="false" ht="15" hidden="false" customHeight="false" outlineLevel="0" collapsed="false">
      <c r="A14" s="7" t="s">
        <v>99</v>
      </c>
      <c r="B14" s="15" t="n">
        <f aca="false">B12+B13</f>
        <v>210352</v>
      </c>
      <c r="C14" s="15" t="n">
        <f aca="false">C12+C13</f>
        <v>220960</v>
      </c>
      <c r="D14" s="15" t="n">
        <f aca="false">D12+D13</f>
        <v>242835.436</v>
      </c>
      <c r="E14" s="16" t="n">
        <f aca="false">E12+E13</f>
        <v>261549.819792</v>
      </c>
      <c r="F14" s="16" t="n">
        <f aca="false">F12+F13</f>
        <v>275008.3638609</v>
      </c>
    </row>
    <row r="15" customFormat="false" ht="15" hidden="false" customHeight="false" outlineLevel="0" collapsed="false">
      <c r="A15" s="12" t="s">
        <v>100</v>
      </c>
      <c r="E15" s="13"/>
      <c r="F15" s="13"/>
    </row>
    <row r="16" customFormat="false" ht="15" hidden="false" customHeight="false" outlineLevel="0" collapsed="false">
      <c r="A16" s="7" t="s">
        <v>101</v>
      </c>
      <c r="B16" s="15" t="n">
        <f aca="false">B9-B14</f>
        <v>180683</v>
      </c>
      <c r="C16" s="15" t="n">
        <f aca="false">C9-C14</f>
        <v>195201</v>
      </c>
      <c r="D16" s="15" t="n">
        <f aca="false">D9-D14</f>
        <v>235096.664</v>
      </c>
      <c r="E16" s="16" t="n">
        <f aca="false">E9-E14</f>
        <v>253417.341208</v>
      </c>
      <c r="F16" s="16" t="n">
        <f aca="false">F9-F14</f>
        <v>273576.2805891</v>
      </c>
    </row>
    <row r="17" customFormat="false" ht="15" hidden="false" customHeight="false" outlineLevel="0" collapsed="false">
      <c r="A17" s="4" t="s">
        <v>102</v>
      </c>
      <c r="B17" s="17" t="n">
        <f aca="false">(B7-B12)/B7</f>
        <v>0.371806176364857</v>
      </c>
      <c r="C17" s="17" t="n">
        <f aca="false">(C7-C12)/C7</f>
        <v>0.367706504496699</v>
      </c>
      <c r="D17" s="17" t="n">
        <f aca="false">(D7-D12)/D7</f>
        <v>0.397049965989722</v>
      </c>
      <c r="E17" s="9" t="n">
        <f aca="false">(E7-E12)/E7</f>
        <v>0.393</v>
      </c>
      <c r="F17" s="9" t="n">
        <f aca="false">(F7-F12)/F7</f>
        <v>0.396</v>
      </c>
    </row>
    <row r="18" customFormat="false" ht="15" hidden="false" customHeight="false" outlineLevel="0" collapsed="false">
      <c r="A18" s="4" t="s">
        <v>103</v>
      </c>
      <c r="B18" s="17" t="n">
        <f aca="false">(B8-B13)/B8</f>
        <v>0.738803564558226</v>
      </c>
      <c r="C18" s="17" t="n">
        <f aca="false">(C8-C13)/C8</f>
        <v>0.754081240037377</v>
      </c>
      <c r="D18" s="17" t="n">
        <f aca="false">(D8-D13)/D8</f>
        <v>0.762010377126848</v>
      </c>
      <c r="E18" s="9" t="n">
        <f aca="false">(E8-E13)/E8</f>
        <v>0.761514552968954</v>
      </c>
      <c r="F18" s="9" t="n">
        <f aca="false">(F8-F13)/F8</f>
        <v>0.765</v>
      </c>
    </row>
    <row r="19" customFormat="false" ht="15" hidden="false" customHeight="false" outlineLevel="0" collapsed="false">
      <c r="A19" s="4" t="s">
        <v>104</v>
      </c>
      <c r="B19" s="17" t="n">
        <f aca="false">B16/B9</f>
        <v>0.462063498152339</v>
      </c>
      <c r="C19" s="17" t="n">
        <f aca="false">C16/C9</f>
        <v>0.469051641071605</v>
      </c>
      <c r="D19" s="17" t="n">
        <f aca="false">D16/D9</f>
        <v>0.491903900156529</v>
      </c>
      <c r="E19" s="9" t="n">
        <f aca="false">E16/E9</f>
        <v>0.492103886228194</v>
      </c>
      <c r="F19" s="9" t="n">
        <f aca="false">F16/F9</f>
        <v>0.498694747213317</v>
      </c>
    </row>
    <row r="20" customFormat="false" ht="15" hidden="false" customHeight="false" outlineLevel="0" collapsed="false">
      <c r="A20" s="12" t="s">
        <v>105</v>
      </c>
      <c r="E20" s="13"/>
      <c r="F20" s="13"/>
    </row>
    <row r="21" customFormat="false" ht="15" hidden="false" customHeight="false" outlineLevel="0" collapsed="false">
      <c r="A21" s="4" t="s">
        <v>106</v>
      </c>
      <c r="B21" s="14" t="n">
        <f aca="false">'Quarterly Income Statement'!B22+'Quarterly Income Statement'!C22+'Quarterly Income Statement'!D22+'Quarterly Income Statement'!E22</f>
        <v>31370</v>
      </c>
      <c r="C21" s="14" t="n">
        <f aca="false">'Quarterly Income Statement'!F22+'Quarterly Income Statement'!G22+'Quarterly Income Statement'!H22+'Quarterly Income Statement'!I22</f>
        <v>34550</v>
      </c>
      <c r="D21" s="14" t="n">
        <f aca="false">'Quarterly Income Statement'!J22+'Quarterly Income Statement'!K22+'Quarterly Income Statement'!L22+'Quarterly Income Statement'!M22</f>
        <v>44029.6088</v>
      </c>
      <c r="E21" s="10" t="n">
        <f aca="false">'Quarterly Income Statement'!N22+'Quarterly Income Statement'!O22+'Quarterly Income Statement'!P22+'Quarterly Income Statement'!Q22</f>
        <v>47128.207767</v>
      </c>
      <c r="F21" s="10" t="n">
        <f aca="false">'Quarterly Income Statement'!R22+'Quarterly Income Statement'!S22+'Quarterly Income Statement'!T22+'Quarterly Income Statement'!U22</f>
        <v>49650.20215105</v>
      </c>
    </row>
    <row r="22" customFormat="false" ht="15" hidden="false" customHeight="false" outlineLevel="0" collapsed="false">
      <c r="A22" s="4" t="s">
        <v>107</v>
      </c>
      <c r="B22" s="14" t="n">
        <f aca="false">'Quarterly Income Statement'!B23+'Quarterly Income Statement'!C23+'Quarterly Income Statement'!D23+'Quarterly Income Statement'!E23</f>
        <v>26097</v>
      </c>
      <c r="C22" s="14" t="n">
        <f aca="false">'Quarterly Income Statement'!F23+'Quarterly Income Statement'!G23+'Quarterly Income Statement'!H23+'Quarterly Income Statement'!I23</f>
        <v>27601</v>
      </c>
      <c r="D22" s="14" t="n">
        <f aca="false">'Quarterly Income Statement'!J23+'Quarterly Income Statement'!K23+'Quarterly Income Statement'!L23+'Quarterly Income Statement'!M23</f>
        <v>30038.1068</v>
      </c>
      <c r="E22" s="10" t="n">
        <f aca="false">'Quarterly Income Statement'!N23+'Quarterly Income Statement'!O23+'Quarterly Income Statement'!P23+'Quarterly Income Statement'!Q23</f>
        <v>31935.372627</v>
      </c>
      <c r="F22" s="10" t="n">
        <f aca="false">'Quarterly Income Statement'!R23+'Quarterly Income Statement'!S23+'Quarterly Income Statement'!T23+'Quarterly Income Statement'!U23</f>
        <v>33467.96636545</v>
      </c>
    </row>
    <row r="23" customFormat="false" ht="15" hidden="false" customHeight="false" outlineLevel="0" collapsed="false">
      <c r="A23" s="7" t="s">
        <v>108</v>
      </c>
      <c r="B23" s="15" t="n">
        <f aca="false">B21+B22</f>
        <v>57467</v>
      </c>
      <c r="C23" s="15" t="n">
        <f aca="false">C21+C22</f>
        <v>62151</v>
      </c>
      <c r="D23" s="15" t="n">
        <f aca="false">D21+D22</f>
        <v>74067.7156</v>
      </c>
      <c r="E23" s="16" t="n">
        <f aca="false">E21+E22</f>
        <v>79063.580394</v>
      </c>
      <c r="F23" s="16" t="n">
        <f aca="false">F21+F22</f>
        <v>83118.1685165</v>
      </c>
    </row>
    <row r="24" customFormat="false" ht="15" hidden="false" customHeight="false" outlineLevel="0" collapsed="false">
      <c r="A24" s="12" t="s">
        <v>109</v>
      </c>
      <c r="E24" s="13"/>
      <c r="F24" s="13"/>
    </row>
    <row r="25" customFormat="false" ht="15" hidden="false" customHeight="false" outlineLevel="0" collapsed="false">
      <c r="A25" s="7" t="s">
        <v>110</v>
      </c>
      <c r="B25" s="15" t="n">
        <f aca="false">B16-B23</f>
        <v>123216</v>
      </c>
      <c r="C25" s="15" t="n">
        <f aca="false">C16-C23</f>
        <v>133050</v>
      </c>
      <c r="D25" s="15" t="n">
        <f aca="false">D16-D23</f>
        <v>161028.9484</v>
      </c>
      <c r="E25" s="16" t="n">
        <f aca="false">E16-E23</f>
        <v>174353.760814</v>
      </c>
      <c r="F25" s="16" t="n">
        <f aca="false">F16-F23</f>
        <v>190458.1120726</v>
      </c>
    </row>
    <row r="26" customFormat="false" ht="15" hidden="false" customHeight="false" outlineLevel="0" collapsed="false">
      <c r="A26" s="4" t="s">
        <v>111</v>
      </c>
      <c r="B26" s="17" t="n">
        <f aca="false">B25/B9</f>
        <v>0.315102228700756</v>
      </c>
      <c r="C26" s="17" t="n">
        <f aca="false">C25/C9</f>
        <v>0.319707997625919</v>
      </c>
      <c r="D26" s="17" t="n">
        <f aca="false">D25/D9</f>
        <v>0.336928505953042</v>
      </c>
      <c r="E26" s="9" t="n">
        <f aca="false">E25/E9</f>
        <v>0.338572580968906</v>
      </c>
      <c r="F26" s="9" t="n">
        <f aca="false">F25/F9</f>
        <v>0.347180902709279</v>
      </c>
    </row>
    <row r="27" customFormat="false" ht="15" hidden="false" customHeight="false" outlineLevel="0" collapsed="false">
      <c r="A27" s="12" t="s">
        <v>112</v>
      </c>
      <c r="E27" s="13"/>
      <c r="F27" s="13"/>
    </row>
    <row r="28" customFormat="false" ht="15" hidden="false" customHeight="false" outlineLevel="0" collapsed="false">
      <c r="A28" s="4" t="s">
        <v>113</v>
      </c>
      <c r="B28" s="14" t="n">
        <f aca="false">'Quarterly Income Statement'!B29+'Quarterly Income Statement'!C29+'Quarterly Income Statement'!D29+'Quarterly Income Statement'!E29</f>
        <v>269</v>
      </c>
      <c r="C28" s="14" t="n">
        <f aca="false">'Quarterly Income Statement'!F29+'Quarterly Income Statement'!G29+'Quarterly Income Statement'!H29+'Quarterly Income Statement'!I29</f>
        <v>-321</v>
      </c>
      <c r="D28" s="14" t="n">
        <f aca="false">'Quarterly Income Statement'!J29+'Quarterly Income Statement'!K29+'Quarterly Income Statement'!L29+'Quarterly Income Statement'!M29</f>
        <v>770</v>
      </c>
      <c r="E28" s="10" t="n">
        <f aca="false">'Quarterly Income Statement'!N29+'Quarterly Income Statement'!O29+'Quarterly Income Statement'!P29+'Quarterly Income Statement'!Q29</f>
        <v>500</v>
      </c>
      <c r="F28" s="10" t="n">
        <f aca="false">'Quarterly Income Statement'!R29+'Quarterly Income Statement'!S29+'Quarterly Income Statement'!T29+'Quarterly Income Statement'!U29</f>
        <v>500</v>
      </c>
    </row>
    <row r="29" customFormat="false" ht="15" hidden="false" customHeight="false" outlineLevel="0" collapsed="false">
      <c r="A29" s="7" t="s">
        <v>114</v>
      </c>
      <c r="B29" s="15" t="n">
        <f aca="false">B25+B28</f>
        <v>123485</v>
      </c>
      <c r="C29" s="15" t="n">
        <f aca="false">C25+C28</f>
        <v>132729</v>
      </c>
      <c r="D29" s="15" t="n">
        <f aca="false">D25+D28</f>
        <v>161798.9484</v>
      </c>
      <c r="E29" s="16" t="n">
        <f aca="false">E25+E28</f>
        <v>174853.760814</v>
      </c>
      <c r="F29" s="16" t="n">
        <f aca="false">F25+F28</f>
        <v>190958.1120726</v>
      </c>
    </row>
    <row r="30" customFormat="false" ht="15" hidden="false" customHeight="false" outlineLevel="0" collapsed="false">
      <c r="A30" s="4" t="s">
        <v>115</v>
      </c>
      <c r="B30" s="14" t="n">
        <f aca="false">'Quarterly Income Statement'!B31+'Quarterly Income Statement'!C31+'Quarterly Income Statement'!D31+'Quarterly Income Statement'!E31</f>
        <v>29749</v>
      </c>
      <c r="C30" s="14" t="n">
        <f aca="false">'Quarterly Income Statement'!F31+'Quarterly Income Statement'!G31+'Quarterly Income Statement'!H31+'Quarterly Income Statement'!I31</f>
        <v>20719</v>
      </c>
      <c r="D30" s="14" t="n">
        <f aca="false">'Quarterly Income Statement'!J31+'Quarterly Income Statement'!K31+'Quarterly Income Statement'!L31+'Quarterly Income Statement'!M31</f>
        <v>28409.96597</v>
      </c>
      <c r="E30" s="10" t="n">
        <f aca="false">'Quarterly Income Statement'!N31+'Quarterly Income Statement'!O31+'Quarterly Income Statement'!P31+'Quarterly Income Statement'!Q31</f>
        <v>30599.40814245</v>
      </c>
      <c r="F30" s="10" t="n">
        <f aca="false">'Quarterly Income Statement'!R31+'Quarterly Income Statement'!S31+'Quarterly Income Statement'!T31+'Quarterly Income Statement'!U31</f>
        <v>33608.6277247776</v>
      </c>
    </row>
    <row r="31" customFormat="false" ht="15" hidden="false" customHeight="false" outlineLevel="0" collapsed="false">
      <c r="A31" s="4" t="s">
        <v>116</v>
      </c>
      <c r="B31" s="17" t="n">
        <f aca="false">B30/B29</f>
        <v>0.2409118516419</v>
      </c>
      <c r="C31" s="17" t="n">
        <f aca="false">C30/C29</f>
        <v>0.15610002335586</v>
      </c>
      <c r="D31" s="17" t="n">
        <f aca="false">D30/D29</f>
        <v>0.175588075515576</v>
      </c>
      <c r="E31" s="9" t="n">
        <f aca="false">E30/E29</f>
        <v>0.175</v>
      </c>
      <c r="F31" s="9" t="n">
        <f aca="false">F30/F29</f>
        <v>0.176</v>
      </c>
    </row>
    <row r="32" customFormat="false" ht="15" hidden="false" customHeight="false" outlineLevel="0" collapsed="false">
      <c r="A32" s="7" t="s">
        <v>117</v>
      </c>
      <c r="B32" s="15" t="n">
        <f aca="false">B29-B30</f>
        <v>93736</v>
      </c>
      <c r="C32" s="15" t="n">
        <f aca="false">C29-C30</f>
        <v>112010</v>
      </c>
      <c r="D32" s="15" t="n">
        <f aca="false">D29-D30</f>
        <v>133388.98243</v>
      </c>
      <c r="E32" s="16" t="n">
        <f aca="false">E29-E30</f>
        <v>144254.35267155</v>
      </c>
      <c r="F32" s="16" t="n">
        <f aca="false">F29-F30</f>
        <v>157349.484347822</v>
      </c>
    </row>
    <row r="33" customFormat="false" ht="15" hidden="false" customHeight="false" outlineLevel="0" collapsed="false">
      <c r="A33" s="4" t="s">
        <v>118</v>
      </c>
      <c r="B33" s="17" t="n">
        <f aca="false">B32/B9</f>
        <v>0.239712557699439</v>
      </c>
      <c r="C33" s="17" t="n">
        <f aca="false">C32/C9</f>
        <v>0.269150641218182</v>
      </c>
      <c r="D33" s="17" t="n">
        <f aca="false">D32/D9</f>
        <v>0.279096094256904</v>
      </c>
      <c r="E33" s="9" t="n">
        <f aca="false">E32/E9</f>
        <v>0.280123401250337</v>
      </c>
      <c r="F33" s="9" t="n">
        <f aca="false">F32/F9</f>
        <v>0.286828087405869</v>
      </c>
    </row>
    <row r="34" customFormat="false" ht="15" hidden="false" customHeight="false" outlineLevel="0" collapsed="false">
      <c r="A34" s="4" t="s">
        <v>95</v>
      </c>
      <c r="B34" s="17"/>
      <c r="C34" s="17" t="n">
        <f aca="false">C32/B32-1</f>
        <v>0.194951779465734</v>
      </c>
      <c r="D34" s="17" t="n">
        <f aca="false">D32/C32-1</f>
        <v>0.190866730024105</v>
      </c>
      <c r="E34" s="9" t="n">
        <f aca="false">E32/D32-1</f>
        <v>0.0814562795488152</v>
      </c>
      <c r="F34" s="9" t="n">
        <f aca="false">F32/E32-1</f>
        <v>0.0907780696648253</v>
      </c>
    </row>
    <row r="35" customFormat="false" ht="15" hidden="false" customHeight="false" outlineLevel="0" collapsed="false">
      <c r="A35" s="12" t="s">
        <v>119</v>
      </c>
      <c r="E35" s="13"/>
      <c r="F35" s="13"/>
    </row>
    <row r="36" customFormat="false" ht="15" hidden="false" customHeight="false" outlineLevel="0" collapsed="false">
      <c r="A36" s="4" t="s">
        <v>120</v>
      </c>
      <c r="B36" s="18" t="n">
        <f aca="false">B32*1000/B39</f>
        <v>6.10905427002762</v>
      </c>
      <c r="C36" s="18" t="n">
        <f aca="false">C32*1000/C39</f>
        <v>7.49305962961266</v>
      </c>
      <c r="D36" s="18" t="n">
        <f aca="false">D32*1000/D39</f>
        <v>9.10313824779299</v>
      </c>
      <c r="E36" s="19" t="n">
        <f aca="false">E32*1000/E39</f>
        <v>10.0017920614694</v>
      </c>
      <c r="F36" s="19" t="n">
        <f aca="false">F32*1000/F39</f>
        <v>11.0478519484418</v>
      </c>
    </row>
    <row r="37" customFormat="false" ht="15" hidden="false" customHeight="false" outlineLevel="0" collapsed="false">
      <c r="A37" s="4" t="s">
        <v>121</v>
      </c>
      <c r="B37" s="18" t="n">
        <f aca="false">B32*1000/B40</f>
        <v>6.08355562720621</v>
      </c>
      <c r="C37" s="18" t="n">
        <f aca="false">C32*1000/C40</f>
        <v>7.46499604307225</v>
      </c>
      <c r="D37" s="18" t="n">
        <f aca="false">D32*1000/D40</f>
        <v>9.0668379092806</v>
      </c>
      <c r="E37" s="19" t="n">
        <f aca="false">E32*1000/E40</f>
        <v>9.95978453481125</v>
      </c>
      <c r="F37" s="19" t="n">
        <f aca="false">F32*1000/F40</f>
        <v>11.0014509702584</v>
      </c>
    </row>
    <row r="38" customFormat="false" ht="15" hidden="false" customHeight="false" outlineLevel="0" collapsed="false">
      <c r="E38" s="13"/>
      <c r="F38" s="13"/>
    </row>
    <row r="39" customFormat="false" ht="15" hidden="false" customHeight="false" outlineLevel="0" collapsed="false">
      <c r="A39" s="4" t="s">
        <v>132</v>
      </c>
      <c r="B39" s="20" t="n">
        <f aca="false">AVERAGE('Quarterly Income Statement'!B40,'Quarterly Income Statement'!C40,'Quarterly Income Statement'!D40,'Quarterly Income Statement'!E40)</f>
        <v>15343782.5</v>
      </c>
      <c r="C39" s="20" t="n">
        <f aca="false">AVERAGE('Quarterly Income Statement'!F40,'Quarterly Income Statement'!G40,'Quarterly Income Statement'!H40,'Quarterly Income Statement'!I40)</f>
        <v>14948499.75</v>
      </c>
      <c r="D39" s="20" t="n">
        <f aca="false">AVERAGE('Quarterly Income Statement'!J40,'Quarterly Income Statement'!K40,'Quarterly Income Statement'!L40,'Quarterly Income Statement'!M40)</f>
        <v>14653076.6422601</v>
      </c>
      <c r="E39" s="21" t="n">
        <f aca="false">AVERAGE('Quarterly Income Statement'!N40,'Quarterly Income Statement'!O40,'Quarterly Income Statement'!P40,'Quarterly Income Statement'!Q40)</f>
        <v>14422850.6036704</v>
      </c>
      <c r="F39" s="21" t="n">
        <f aca="false">AVERAGE('Quarterly Income Statement'!R40,'Quarterly Income Statement'!S40,'Quarterly Income Statement'!T40,'Quarterly Income Statement'!U40)</f>
        <v>14242541.0009242</v>
      </c>
    </row>
    <row r="40" customFormat="false" ht="15" hidden="false" customHeight="false" outlineLevel="0" collapsed="false">
      <c r="A40" s="4" t="s">
        <v>133</v>
      </c>
      <c r="B40" s="20" t="n">
        <f aca="false">AVERAGE('Quarterly Income Statement'!B41,'Quarterly Income Statement'!C41,'Quarterly Income Statement'!D41,'Quarterly Income Statement'!E41)</f>
        <v>15408094.5</v>
      </c>
      <c r="C40" s="20" t="n">
        <f aca="false">AVERAGE('Quarterly Income Statement'!F41,'Quarterly Income Statement'!G41,'Quarterly Income Statement'!H41,'Quarterly Income Statement'!I41)</f>
        <v>15004696.5</v>
      </c>
      <c r="D40" s="20" t="n">
        <f aca="false">AVERAGE('Quarterly Income Statement'!J41,'Quarterly Income Statement'!K41,'Quarterly Income Statement'!L41,'Quarterly Income Statement'!M41)</f>
        <v>14711742.2595</v>
      </c>
      <c r="E40" s="21" t="n">
        <f aca="false">AVERAGE('Quarterly Income Statement'!N41,'Quarterly Income Statement'!O41,'Quarterly Income Statement'!P41,'Quarterly Income Statement'!Q41)</f>
        <v>14483682.0683575</v>
      </c>
      <c r="F40" s="21" t="n">
        <f aca="false">AVERAGE('Quarterly Income Statement'!R41,'Quarterly Income Statement'!S41,'Quarterly Income Statement'!T41,'Quarterly Income Statement'!U41)</f>
        <v>14302611.9712032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2026-08-17T16:37:27Z</dcterms:created>
  <dc:creator>openpyxl</dc:creator>
  <dc:description/>
  <dc:language>en-US</dc:language>
  <cp:lastModifiedBy/>
  <dcterms:modified xsi:type="dcterms:W3CDTF">2026-08-17T16:37:27Z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