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Segment Detail" sheetId="3" state="visible" r:id="rId5"/>
    <sheet name="Income Statement" sheetId="4" state="visible" r:id="rId6"/>
    <sheet name="Growth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<sst xmlns="http://schemas.openxmlformats.org/spreadsheetml/2006/main" count="300" uniqueCount="135">
  <si>
    <t xml:space="preserve">Delivery Hero SE</t>
  </si>
  <si>
    <t xml:space="preserve">Income Statement Model &amp; Growth Analysis</t>
  </si>
  <si>
    <t xml:space="preserve">FY2021A - FY2025A Actuals  |  FY2026E - FY2028E Forecast  |  EUR million unless noted</t>
  </si>
  <si>
    <t xml:space="preserve">Contents</t>
  </si>
  <si>
    <t xml:space="preserve">1. Assumptions &amp; Forecast Drivers</t>
  </si>
  <si>
    <t xml:space="preserve">2. Consolidated Income Statement (FY21A-FY28E)</t>
  </si>
  <si>
    <t xml:space="preserve">3. Segment Revenue &amp; GMV Detail (growth by region)</t>
  </si>
  <si>
    <t xml:space="preserve">4. Growth Analysis Dashboard (KPIs &amp; charts)</t>
  </si>
  <si>
    <t xml:space="preserve">Company snapshot</t>
  </si>
  <si>
    <t xml:space="preserve">Ticker / Exchange</t>
  </si>
  <si>
    <t xml:space="preserve">DHER - Frankfurt / XETRA (Deutsche Börse)</t>
  </si>
  <si>
    <t xml:space="preserve">Sector</t>
  </si>
  <si>
    <t xml:space="preserve">Online food delivery &amp; quick commerce ("Everyday App")</t>
  </si>
  <si>
    <t xml:space="preserve">Segments</t>
  </si>
  <si>
    <t xml:space="preserve">Asia, MENA, Europe, Americas, Integrated Verticals</t>
  </si>
  <si>
    <t xml:space="preserve">Fiscal year end</t>
  </si>
  <si>
    <t xml:space="preserve">31 December</t>
  </si>
  <si>
    <t xml:space="preserve">Reporting currency</t>
  </si>
  <si>
    <t xml:space="preserve">EUR</t>
  </si>
  <si>
    <t xml:space="preserve">Notes &amp; sourcing</t>
  </si>
  <si>
    <t xml:space="preserve">Sources: Delivery Hero SE press releases &amp; trading updates (Q4/FY2021-FY2025), FY2024 Annual Report, stockanalysis.com aggregated financials. FY2026-2028 = model forecast built on company FY2026 guidance (issued w/ Q4 2025 results, Feb-2026) and illustrative assumptions thereafter. All figures EUR million unless noted. Historical consolidated P&amp;L figures are as-reported IFRS group results; "Total Segment Revenue" and GMV are Delivery Hero's non-IFRS operating metrics reported alongside the IFRS statements and reconciled via an eliminations/other line. Blue text = hardcoded input/actual; black text = formula.</t>
  </si>
  <si>
    <t xml:space="preserve">Legend</t>
  </si>
  <si>
    <t xml:space="preserve">Historical actual (hardcoded)</t>
  </si>
  <si>
    <t xml:space="preserve">Forecast assumption (input)</t>
  </si>
  <si>
    <t xml:space="preserve">Calculated (formula)</t>
  </si>
  <si>
    <t xml:space="preserve">Forecast Assumptions &amp; Drivers</t>
  </si>
  <si>
    <t xml:space="preserve">FY2026E guided by company outlook (Feb-2026 FY2025 results); FY2027E-FY2028E are illustrative model assumptions</t>
  </si>
  <si>
    <t xml:space="preserve">Group-level operating assumptions</t>
  </si>
  <si>
    <t xml:space="preserve">FY2026E</t>
  </si>
  <si>
    <t xml:space="preserve">FY2027E</t>
  </si>
  <si>
    <t xml:space="preserve">FY2028E</t>
  </si>
  <si>
    <t xml:space="preserve">Note</t>
  </si>
  <si>
    <t xml:space="preserve">GMV growth, LFL (%)</t>
  </si>
  <si>
    <t xml:space="preserve">FY26: co. guidance 8-10% LFL (mid); FY27-28: illustrative deceleration</t>
  </si>
  <si>
    <t xml:space="preserve">Segment revenue -&gt; IFRS revenue conversion (%)</t>
  </si>
  <si>
    <t xml:space="preserve">Historical avg. IFRS revenue / Total Segment Revenue ~89.6-96.1%; recent-yr avg held flat</t>
  </si>
  <si>
    <t xml:space="preserve">Gross margin (%)</t>
  </si>
  <si>
    <t xml:space="preserve">Gradual mix-driven gross margin recovery toward FY23 levels (~29.9%)</t>
  </si>
  <si>
    <t xml:space="preserve">Adjusted EBITDA margin, % of Total Segment Revenue</t>
  </si>
  <si>
    <t xml:space="preserve">FY26E co. guided EUR 910-960m (up-to-mid-single-digit % growth) implies temporary margin dip before re-expansion toward the 5-8%-of-GMV 2030 target</t>
  </si>
  <si>
    <t xml:space="preserve">D&amp;A, % of revenue</t>
  </si>
  <si>
    <t xml:space="preserve">Recent run-rate D&amp;A/revenue, gradually declining with operating leverage</t>
  </si>
  <si>
    <t xml:space="preserve">Net financial result, EUR m (expense)</t>
  </si>
  <si>
    <t xml:space="preserve">Declining net interest expense as leverage falls &amp; FCF turns durably positive</t>
  </si>
  <si>
    <t xml:space="preserve">Effective cash tax expense, EUR m</t>
  </si>
  <si>
    <t xml:space="preserve">Cash tax roughly flat-to-up with profitable-country mix; DTA effects excluded</t>
  </si>
  <si>
    <t xml:space="preserve">Diluted shares outstanding, million</t>
  </si>
  <si>
    <t xml:space="preserve">~flat; modest dilution from employee share plans, no major buyback assumed</t>
  </si>
  <si>
    <t xml:space="preserve">Segment mix — Total Segment Revenue growth by region, as-reported YoY (%)</t>
  </si>
  <si>
    <t xml:space="preserve">Asia</t>
  </si>
  <si>
    <t xml:space="preserve">FY25A +8.5%; Q4-25 returned to GMV growth (S. Korea)</t>
  </si>
  <si>
    <t xml:space="preserve">MENA</t>
  </si>
  <si>
    <t xml:space="preserve">FY25A +14.4%; continued robust GMV (talabat)</t>
  </si>
  <si>
    <t xml:space="preserve">Europe</t>
  </si>
  <si>
    <t xml:space="preserve">FY25A +31.4%; Foodpanda/Glovo momentum, deceleration assumed</t>
  </si>
  <si>
    <t xml:space="preserve">Americas</t>
  </si>
  <si>
    <t xml:space="preserve">FY25A +12.6%; steady order growth</t>
  </si>
  <si>
    <t xml:space="preserve">Integrated Verticals (Quick Commerce)</t>
  </si>
  <si>
    <t xml:space="preserve">FY25A +17.7%; QC GMV approaching EUR 10bn in FY26E</t>
  </si>
  <si>
    <t xml:space="preserve">All cells shaded gold are hard-coded model inputs — change them to flex the FY2026E-FY2028E forecast; every other cell in the Income Statement and Segment Detail sheets recalculates automatically. FY2026E group guidance (Total Segment Revenue LFL growth, GMV LFL growth, Adjusted EBITDA of EUR 910-960m) is sourced from Delivery Hero's FY2025 results / FY2026 outlook (Feb-2026); FY2027E-FY2028E and all segment-level splits are illustrative modeling assumptions, not company guidance.</t>
  </si>
  <si>
    <t xml:space="preserve">Historical actuals reference (for context — not inputs)</t>
  </si>
  <si>
    <t xml:space="preserve">FY2025A Adjusted EBITDA: &gt;EUR 900m (final audited figure TBD at time of modeling, co. reported "above EUR 900.0m", +30% YoY). FY2024A Adjusted EBITDA: EUR 692.5m (revised down from EUR 750m preliminary due to Italy rider legal provisions). FY2023A Adjusted EBITDA: EUR 253.3m.</t>
  </si>
  <si>
    <t xml:space="preserve">Segment Revenue &amp; GMV Detail — Growth by Region</t>
  </si>
  <si>
    <t xml:space="preserve">EUR million unless noted. Segments: Asia, MENA, Europe, Americas, Integrated Verticals (Quick Commerce)</t>
  </si>
  <si>
    <t xml:space="preserve">Total Segment Revenue by region (non-IFRS operating metric, as reported)</t>
  </si>
  <si>
    <t xml:space="preserve">FY2023A</t>
  </si>
  <si>
    <t xml:space="preserve">FY2024A</t>
  </si>
  <si>
    <t xml:space="preserve">FY2025A</t>
  </si>
  <si>
    <t xml:space="preserve">'23-'25
CAGR</t>
  </si>
  <si>
    <t xml:space="preserve">'25-'28E
CAGR</t>
  </si>
  <si>
    <t xml:space="preserve">  Sum of segments</t>
  </si>
  <si>
    <t xml:space="preserve">Eliminations &amp; other (reconciling item)</t>
  </si>
  <si>
    <t xml:space="preserve">Total Segment Revenue</t>
  </si>
  <si>
    <t xml:space="preserve">FY2023A-FY2025A: company-reported actuals. FY2026E-FY2028E: segment revenue grown at the assumed as-reported YoY rate per region (Assumptions sheet); eliminations held at the FY2025A ratio to segment sum.</t>
  </si>
  <si>
    <t xml:space="preserve">Segment revenue growth, YoY (%)</t>
  </si>
  <si>
    <t xml:space="preserve">n/a</t>
  </si>
  <si>
    <t xml:space="preserve">Integrated Verticals</t>
  </si>
  <si>
    <t xml:space="preserve">Revenue mix, % of Total Segment Revenue</t>
  </si>
  <si>
    <t xml:space="preserve">Gross Merchandise Value (GMV) by region</t>
  </si>
  <si>
    <t xml:space="preserve">Total GMV</t>
  </si>
  <si>
    <t xml:space="preserve">  of which: Quick Commerce (Integrated Verticals) GMV</t>
  </si>
  <si>
    <t xml:space="preserve">Asia+MENA+Europe+Americas GMV sums exactly to disclosed Total GMV in both FY2024A and FY2025A; Quick Commerce (Integrated Verticals) GMV is a memo subset already included within the four regions, not additive. FY2023A regional GMV split not separately disclosed. FY2026E-28E: Total GMV grown per the group LFL assumption (Assumptions sheet); regional split held at the FY2025A mix.</t>
  </si>
  <si>
    <t xml:space="preserve">Monetization — Total Segment Revenue as % of GMV ("take rate")</t>
  </si>
  <si>
    <t xml:space="preserve">Take rate</t>
  </si>
  <si>
    <t xml:space="preserve">Delivery Hero SE — Consolidated Income Statement</t>
  </si>
  <si>
    <t xml:space="preserve">EUR million unless noted. FY2021A-FY2025A as-reported IFRS actuals; FY2026E-FY2028E model forecast</t>
  </si>
  <si>
    <t xml:space="preserve">Revenue</t>
  </si>
  <si>
    <t xml:space="preserve">FY2021A</t>
  </si>
  <si>
    <t xml:space="preserve">FY2022A</t>
  </si>
  <si>
    <t xml:space="preserve">'21A-'25A
CAGR</t>
  </si>
  <si>
    <t xml:space="preserve">'25A-'28E
CAGR</t>
  </si>
  <si>
    <t xml:space="preserve">Total Segment Revenue (non-IFRS)</t>
  </si>
  <si>
    <t xml:space="preserve">  YoY growth %</t>
  </si>
  <si>
    <t xml:space="preserve">Revenue (IFRS, consolidated)</t>
  </si>
  <si>
    <t xml:space="preserve">Gross profit</t>
  </si>
  <si>
    <t xml:space="preserve">Cost of revenue (memo)</t>
  </si>
  <si>
    <t xml:space="preserve">Gross margin, % of revenue</t>
  </si>
  <si>
    <t xml:space="preserve">Adjusted EBITDA (company-defined non-IFRS metric)</t>
  </si>
  <si>
    <t xml:space="preserve">Adjusted EBITDA</t>
  </si>
  <si>
    <t xml:space="preserve">Adj. EBITDA margin, % of Total Segment Revenue</t>
  </si>
  <si>
    <t xml:space="preserve">Adj. EBITDA margin, % of GMV</t>
  </si>
  <si>
    <t xml:space="preserve">FY2025A Adjusted EBITDA disclosed only as "above EUR 900m" (+30% YoY) at time of modeling; EUR 906m used as a point estimate pending the audited FY2025 annual report figure. FY2026E guidance: EUR 910-960m (up-to-mid-single-digit % YoY growth) — implies a temporary margin dip vs FY2025A as the company continues to invest in Quick Commerce / new verticals, before margin re-expansion in FY2027E-28E.</t>
  </si>
  <si>
    <t xml:space="preserve">EBIT / Operating income (IFRS)</t>
  </si>
  <si>
    <t xml:space="preserve">Depreciation &amp; amortization (forecast driver)</t>
  </si>
  <si>
    <t xml:space="preserve">EBIT / Operating income (IFRS, as reported)</t>
  </si>
  <si>
    <t xml:space="preserve">EBIT margin, % of revenue</t>
  </si>
  <si>
    <t xml:space="preserve">Net income build</t>
  </si>
  <si>
    <t xml:space="preserve">Net financial result (forecast assumption)</t>
  </si>
  <si>
    <t xml:space="preserve">Earnings before tax (EBT) (forecast)</t>
  </si>
  <si>
    <t xml:space="preserve">Income tax expense (forecast assumption)</t>
  </si>
  <si>
    <t xml:space="preserve">Financial result, tax &amp; non-controlling interests, net (historical bridge)</t>
  </si>
  <si>
    <t xml:space="preserve">Net income (loss)</t>
  </si>
  <si>
    <t xml:space="preserve">Net margin, % of revenue</t>
  </si>
  <si>
    <t xml:space="preserve">Diluted shares outstanding, million (memo)</t>
  </si>
  <si>
    <t xml:space="preserve">EPS, diluted (EUR)</t>
  </si>
  <si>
    <t xml:space="preserve">Historical (FY2021A-FY2025A): Revenue, Gross profit, EBIT and Net income/EPS are as-reported IFRS consolidated figures. Granular interest/tax/NCI splits are not separately modeled for historical years; the "Financial result, tax &amp; non-controlling interests, net" row is a computed bridge (Net income - EBIT), not a company-disclosed line. Forecast (FY2026E-FY2028E): built bottom-up from Adjusted EBITDA less an assumed D&amp;A run-rate, plus assumption-driven net financial result and cash tax (Assumptions sheet); this simplification assumes no material one-off/non-underlying items going forward and excludes a separate non-controlling-interest adjustment.</t>
  </si>
  <si>
    <t xml:space="preserve">Growth Analysis Dashboard</t>
  </si>
  <si>
    <t xml:space="preserve">All figures linked live to Income Statement / Segment Detail sheets — FY2023A-FY2028E</t>
  </si>
  <si>
    <t xml:space="preserve">Key growth KPIs</t>
  </si>
  <si>
    <t xml:space="preserve">  Revenue growth, YoY %</t>
  </si>
  <si>
    <t xml:space="preserve">GMV</t>
  </si>
  <si>
    <t xml:space="preserve">  GMV growth, YoY %</t>
  </si>
  <si>
    <t xml:space="preserve">  Adj. EBITDA margin, % of Total Segment Revenue</t>
  </si>
  <si>
    <t xml:space="preserve">CAGR summary</t>
  </si>
  <si>
    <t xml:space="preserve">FY23A-25A</t>
  </si>
  <si>
    <t xml:space="preserve">FY25A-28E</t>
  </si>
  <si>
    <t xml:space="preserve">  Asia</t>
  </si>
  <si>
    <t xml:space="preserve">  MENA</t>
  </si>
  <si>
    <t xml:space="preserve">  Europe</t>
  </si>
  <si>
    <t xml:space="preserve">  Americas</t>
  </si>
  <si>
    <t xml:space="preserve">  Integrated Verticals</t>
  </si>
  <si>
    <t xml:space="preserve">Revenue (IFRS)</t>
  </si>
  <si>
    <t xml:space="preserve">  memo: Revenue FY21A-25A CAGR</t>
  </si>
  <si>
    <t xml:space="preserve">Sources: Delivery Hero SE press releases &amp; trading updates (Q4/FY2021-FY2025), FY2024 Annual Report, stockanalysis.com aggregated financials. FY2026-2028 = model forecast built on company FY2026 guidance (issued w/ Q4 2025 results, Feb-2026) and illustrative assumptions thereafter. All figures EUR million unless noted.</t>
  </si>
  <si>
    <t xml:space="preserve">Change any gold-shaded cell on the Assumptions sheet to re-run the FY2026E-FY2028E forecast across every sheet in this workbook.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</si>
</sst>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;\(#,##0\);\-"/>
    <numFmt numFmtId="167" formatCode="#,##0.0;\(#,##0.0\);\-"/>
    <numFmt numFmtId="168" formatCode="#,##0.00;\(#,##0.00\);\-"/>
    <numFmt numFmtId="169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F3864"/>
      <name val="Calibri"/>
      <family val="0"/>
      <charset val="1"/>
    </font>
    <font>
      <sz val="15"/>
      <color rgb="FF2E5EAA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2"/>
      <color rgb="FF1F3864"/>
      <name val="Cambria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1F4E78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sz val="10"/>
      <color rgb="FF1F4E78"/>
      <name val="Cambria"/>
      <family val="0"/>
      <charset val="1"/>
    </font>
    <font>
      <sz val="10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0"/>
      <color rgb="FF1F4E78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A6A6A6"/>
      <name val="Cambria"/>
      <family val="0"/>
      <charset val="1"/>
    </font>
    <font>
      <b val="true"/>
      <i val="true"/>
      <sz val="9"/>
      <color rgb="FFA6A6A6"/>
      <name val="Cambria"/>
      <family val="0"/>
      <charset val="1"/>
    </font>
    <font>
      <i val="true"/>
      <sz val="9"/>
      <color rgb="FF1F4E78"/>
      <name val="Cambria"/>
      <family val="0"/>
      <charset val="1"/>
    </font>
    <font>
      <i val="true"/>
      <sz val="9"/>
      <name val="Cambria"/>
      <family val="0"/>
      <charset val="1"/>
    </font>
    <font>
      <b val="true"/>
      <i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1F4E78"/>
      </patternFill>
    </fill>
    <fill>
      <patternFill patternType="solid">
        <fgColor rgb="FF2E5EAA"/>
        <bgColor rgb="FF1F4E78"/>
      </patternFill>
    </fill>
    <fill>
      <patternFill patternType="solid">
        <fgColor rgb="FFBF8F00"/>
        <bgColor rgb="FFFF6600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9BBB59"/>
      <rgbColor rgb="FF800080"/>
      <rgbColor rgb="FF008080"/>
      <rgbColor rgb="FFBFBFBF"/>
      <rgbColor rgb="FF808080"/>
      <rgbColor rgb="FFA6A6A6"/>
      <rgbColor rgb="FFBE4B48"/>
      <rgbColor rgb="FFFFF2CC"/>
      <rgbColor rgb="FFDCE6F1"/>
      <rgbColor rgb="FF660066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BF8F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Segment Revenue by region (EUR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'Segment Detail'!B7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Detail'!$C$6:$H$6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</c:strCache>
            </c:strRef>
          </c:cat>
          <c:val>
            <c:numRef>
              <c:f>'Segment Detail'!$C$7:$H$7</c:f>
              <c:numCache>
                <c:formatCode>#,##0;\(#,##0\);\-</c:formatCode>
                <c:ptCount val="6"/>
                <c:pt idx="0">
                  <c:v>3729.3</c:v>
                </c:pt>
                <c:pt idx="1">
                  <c:v>4071.9</c:v>
                </c:pt>
                <c:pt idx="2">
                  <c:v>4417.7</c:v>
                </c:pt>
                <c:pt idx="3">
                  <c:v>4815.293</c:v>
                </c:pt>
                <c:pt idx="4">
                  <c:v>5200.51644</c:v>
                </c:pt>
                <c:pt idx="5">
                  <c:v>5590.555173</c:v>
                </c:pt>
              </c:numCache>
            </c:numRef>
          </c:val>
        </c:ser>
        <c:ser>
          <c:idx val="1"/>
          <c:order val="1"/>
          <c:tx>
            <c:strRef>
              <c:f>'Segment Detail'!B8</c:f>
              <c:strCache>
                <c:ptCount val="1"/>
                <c:pt idx="0">
                  <c:v>MENA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Detail'!$C$6:$H$6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</c:strCache>
            </c:strRef>
          </c:cat>
          <c:val>
            <c:numRef>
              <c:f>'Segment Detail'!$C$8:$H$8</c:f>
              <c:numCache>
                <c:formatCode>#,##0;\(#,##0\);\-</c:formatCode>
                <c:ptCount val="6"/>
                <c:pt idx="0">
                  <c:v>2700.8</c:v>
                </c:pt>
                <c:pt idx="1">
                  <c:v>3527.8</c:v>
                </c:pt>
                <c:pt idx="2">
                  <c:v>4033.7</c:v>
                </c:pt>
                <c:pt idx="3">
                  <c:v>4679.092</c:v>
                </c:pt>
                <c:pt idx="4">
                  <c:v>5357.56034</c:v>
                </c:pt>
                <c:pt idx="5">
                  <c:v>6054.0431842</c:v>
                </c:pt>
              </c:numCache>
            </c:numRef>
          </c:val>
        </c:ser>
        <c:ser>
          <c:idx val="2"/>
          <c:order val="2"/>
          <c:tx>
            <c:strRef>
              <c:f>'Segment Detail'!B9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Detail'!$C$6:$H$6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</c:strCache>
            </c:strRef>
          </c:cat>
          <c:val>
            <c:numRef>
              <c:f>'Segment Detail'!$C$9:$H$9</c:f>
              <c:numCache>
                <c:formatCode>#,##0;\(#,##0\);\-</c:formatCode>
                <c:ptCount val="6"/>
                <c:pt idx="0">
                  <c:v>1522.4</c:v>
                </c:pt>
                <c:pt idx="1">
                  <c:v>1891.9</c:v>
                </c:pt>
                <c:pt idx="2">
                  <c:v>2486.3</c:v>
                </c:pt>
                <c:pt idx="3">
                  <c:v>3083.012</c:v>
                </c:pt>
                <c:pt idx="4">
                  <c:v>3668.78428</c:v>
                </c:pt>
                <c:pt idx="5">
                  <c:v>4255.7897648</c:v>
                </c:pt>
              </c:numCache>
            </c:numRef>
          </c:val>
        </c:ser>
        <c:ser>
          <c:idx val="3"/>
          <c:order val="3"/>
          <c:tx>
            <c:strRef>
              <c:f>'Segment Detail'!B10</c:f>
              <c:strCache>
                <c:ptCount val="1"/>
                <c:pt idx="0">
                  <c:v>Americas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Detail'!$C$6:$H$6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</c:strCache>
            </c:strRef>
          </c:cat>
          <c:val>
            <c:numRef>
              <c:f>'Segment Detail'!$C$10:$H$10</c:f>
              <c:numCache>
                <c:formatCode>#,##0;\(#,##0\);\-</c:formatCode>
                <c:ptCount val="6"/>
                <c:pt idx="0">
                  <c:v>651</c:v>
                </c:pt>
                <c:pt idx="1">
                  <c:v>939.6</c:v>
                </c:pt>
                <c:pt idx="2">
                  <c:v>1057.6</c:v>
                </c:pt>
                <c:pt idx="3">
                  <c:v>1205.664</c:v>
                </c:pt>
                <c:pt idx="4">
                  <c:v>1350.34368</c:v>
                </c:pt>
                <c:pt idx="5">
                  <c:v>1498.8814848</c:v>
                </c:pt>
              </c:numCache>
            </c:numRef>
          </c:val>
        </c:ser>
        <c:ser>
          <c:idx val="4"/>
          <c:order val="4"/>
          <c:tx>
            <c:strRef>
              <c:f>'Segment Detail'!B11</c:f>
              <c:strCache>
                <c:ptCount val="1"/>
                <c:pt idx="0">
                  <c:v>Integrated Verticals (Quick Commerce)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Detail'!$C$6:$H$6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</c:strCache>
            </c:strRef>
          </c:cat>
          <c:val>
            <c:numRef>
              <c:f>'Segment Detail'!$C$11:$H$11</c:f>
              <c:numCache>
                <c:formatCode>#,##0;\(#,##0\);\-</c:formatCode>
                <c:ptCount val="6"/>
                <c:pt idx="0">
                  <c:v>2162.1</c:v>
                </c:pt>
                <c:pt idx="1">
                  <c:v>2709.8</c:v>
                </c:pt>
                <c:pt idx="2">
                  <c:v>3189</c:v>
                </c:pt>
                <c:pt idx="3">
                  <c:v>3826.8</c:v>
                </c:pt>
                <c:pt idx="4">
                  <c:v>4477.356</c:v>
                </c:pt>
                <c:pt idx="5">
                  <c:v>5148.9594</c:v>
                </c:pt>
              </c:numCache>
            </c:numRef>
          </c:val>
        </c:ser>
        <c:gapWidth val="150"/>
        <c:overlap val="100"/>
        <c:axId val="39602971"/>
        <c:axId val="14268583"/>
      </c:barChart>
      <c:catAx>
        <c:axId val="396029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268583"/>
        <c:crosses val="autoZero"/>
        <c:auto val="1"/>
        <c:lblAlgn val="ctr"/>
        <c:lblOffset val="100"/>
        <c:noMultiLvlLbl val="0"/>
      </c:catAx>
      <c:valAx>
        <c:axId val="14268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EUR million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6029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Growth &amp; profitability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'Growth Dashboard'!B8</c:f>
              <c:strCache>
                <c:ptCount val="1"/>
                <c:pt idx="0">
                  <c:v>  Revenue growth, YoY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Dashboard'!$C$6:$H$6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</c:strCache>
            </c:strRef>
          </c:cat>
          <c:val>
            <c:numRef>
              <c:f>'Growth Dashboard'!$C$8:$H$8</c:f>
              <c:numCache>
                <c:formatCode>0.0%;\(0.0%\);\-</c:formatCode>
                <c:ptCount val="6"/>
                <c:pt idx="0">
                  <c:v>0.159146554739419</c:v>
                </c:pt>
                <c:pt idx="1">
                  <c:v>0.236672701669684</c:v>
                </c:pt>
                <c:pt idx="2">
                  <c:v>0.143554290361936</c:v>
                </c:pt>
                <c:pt idx="3">
                  <c:v>0.166113108915527</c:v>
                </c:pt>
                <c:pt idx="4">
                  <c:v>0.138825612536067</c:v>
                </c:pt>
                <c:pt idx="5">
                  <c:v>0.124344197767754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'Growth Dashboard'!B11</c:f>
              <c:strCache>
                <c:ptCount val="1"/>
                <c:pt idx="0">
                  <c:v>  GMV growth, YoY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Dashboard'!$C$6:$H$6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</c:strCache>
            </c:strRef>
          </c:cat>
          <c:val>
            <c:numRef>
              <c:f>'Growth Dashboard'!$C$11:$H$11</c:f>
              <c:numCache>
                <c:formatCode>0.0%;\(0.0%\);\-</c:formatCode>
                <c:ptCount val="6"/>
                <c:pt idx="2">
                  <c:v>0.00908233170611639</c:v>
                </c:pt>
                <c:pt idx="3">
                  <c:v>0.09</c:v>
                </c:pt>
                <c:pt idx="4">
                  <c:v>0.085</c:v>
                </c:pt>
                <c:pt idx="5">
                  <c:v>0.08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'Growth Dashboard'!B13</c:f>
              <c:strCache>
                <c:ptCount val="1"/>
                <c:pt idx="0">
                  <c:v>  Adj. EBITDA margin, % of Total Segment Revenue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Dashboard'!$C$6:$H$6</c:f>
              <c:strCache>
                <c:ptCount val="6"/>
                <c:pt idx="0">
                  <c:v>FY2023A</c:v>
                </c:pt>
                <c:pt idx="1">
                  <c:v>FY2024A</c:v>
                </c:pt>
                <c:pt idx="2">
                  <c:v>FY2025A</c:v>
                </c:pt>
                <c:pt idx="3">
                  <c:v>FY2026E</c:v>
                </c:pt>
                <c:pt idx="4">
                  <c:v>FY2027E</c:v>
                </c:pt>
                <c:pt idx="5">
                  <c:v>FY2028E</c:v>
                </c:pt>
              </c:strCache>
            </c:strRef>
          </c:cat>
          <c:val>
            <c:numRef>
              <c:f>'Growth Dashboard'!$C$13:$H$13</c:f>
              <c:numCache>
                <c:formatCode>0.0%;\(0.0%\);\-</c:formatCode>
                <c:ptCount val="6"/>
                <c:pt idx="0">
                  <c:v>0.0228198198198198</c:v>
                </c:pt>
                <c:pt idx="1">
                  <c:v>0.0541167828451752</c:v>
                </c:pt>
                <c:pt idx="2">
                  <c:v>0.0612021562613994</c:v>
                </c:pt>
                <c:pt idx="3">
                  <c:v>0.0545</c:v>
                </c:pt>
                <c:pt idx="4">
                  <c:v>0.062</c:v>
                </c:pt>
                <c:pt idx="5">
                  <c:v>0.07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23408"/>
        <c:axId val="30975638"/>
      </c:lineChart>
      <c:catAx>
        <c:axId val="1332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975638"/>
        <c:crosses val="autoZero"/>
        <c:auto val="1"/>
        <c:lblAlgn val="ctr"/>
        <c:lblOffset val="100"/>
        <c:noMultiLvlLbl val="0"/>
      </c:catAx>
      <c:valAx>
        <c:axId val="30975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3234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5</xdr:col>
      <xdr:colOff>551160</xdr:colOff>
      <xdr:row>45</xdr:row>
      <xdr:rowOff>1080</xdr:rowOff>
    </xdr:to>
    <xdr:graphicFrame>
      <xdr:nvGraphicFramePr>
        <xdr:cNvPr id="1" name="Chart 1"/>
        <xdr:cNvGraphicFramePr/>
      </xdr:nvGraphicFramePr>
      <xdr:xfrm>
        <a:off x="211320" y="55530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5</xdr:col>
      <xdr:colOff>551160</xdr:colOff>
      <xdr:row>64</xdr:row>
      <xdr:rowOff>1080</xdr:rowOff>
    </xdr:to>
    <xdr:graphicFrame>
      <xdr:nvGraphicFramePr>
        <xdr:cNvPr id="2" name="Chart 2"/>
        <xdr:cNvGraphicFramePr/>
      </xdr:nvGraphicFramePr>
      <xdr:xfrm>
        <a:off x="211320" y="9172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false" outlineLevel="0" collapsed="false">
      <c r="B2" s="1" t="s">
        <v>0</v>
      </c>
      <c r="C2" s="1"/>
    </row>
    <row r="3" customFormat="false" ht="18.55" hidden="false" customHeight="fals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6" t="s">
        <v>9</v>
      </c>
      <c r="C13" s="5" t="s">
        <v>10</v>
      </c>
    </row>
    <row r="14" customFormat="false" ht="15" hidden="false" customHeight="false" outlineLevel="0" collapsed="false">
      <c r="B14" s="6" t="s">
        <v>11</v>
      </c>
      <c r="C14" s="5" t="s">
        <v>12</v>
      </c>
    </row>
    <row r="15" customFormat="false" ht="15" hidden="false" customHeight="false" outlineLevel="0" collapsed="false">
      <c r="B15" s="6" t="s">
        <v>13</v>
      </c>
      <c r="C15" s="5" t="s">
        <v>14</v>
      </c>
    </row>
    <row r="16" customFormat="false" ht="15" hidden="false" customHeight="false" outlineLevel="0" collapsed="false">
      <c r="B16" s="6" t="s">
        <v>15</v>
      </c>
      <c r="C16" s="5" t="s">
        <v>16</v>
      </c>
    </row>
    <row r="17" customFormat="false" ht="15" hidden="false" customHeight="false" outlineLevel="0" collapsed="false">
      <c r="B17" s="6" t="s">
        <v>17</v>
      </c>
      <c r="C17" s="5" t="s">
        <v>18</v>
      </c>
    </row>
    <row r="19" customFormat="false" ht="15" hidden="false" customHeight="false" outlineLevel="0" collapsed="false">
      <c r="B19" s="4" t="s">
        <v>19</v>
      </c>
    </row>
    <row r="20" customFormat="false" ht="90" hidden="false" customHeight="true" outlineLevel="0" collapsed="false">
      <c r="B20" s="7" t="s">
        <v>20</v>
      </c>
      <c r="C20" s="7"/>
    </row>
    <row r="21" customFormat="false" ht="15" hidden="false" customHeight="false" outlineLevel="0" collapsed="false">
      <c r="B21" s="7"/>
      <c r="C21" s="7"/>
    </row>
    <row r="22" customFormat="false" ht="15" hidden="false" customHeight="false" outlineLevel="0" collapsed="false">
      <c r="B22" s="7"/>
      <c r="C22" s="7"/>
    </row>
    <row r="23" customFormat="false" ht="15" hidden="false" customHeight="false" outlineLevel="0" collapsed="false">
      <c r="B23" s="7"/>
      <c r="C23" s="7"/>
    </row>
    <row r="24" customFormat="false" ht="15" hidden="false" customHeight="false" outlineLevel="0" collapsed="false">
      <c r="B24" s="7"/>
      <c r="C24" s="7"/>
    </row>
    <row r="25" customFormat="false" ht="15" hidden="false" customHeight="false" outlineLevel="0" collapsed="false">
      <c r="B25" s="7"/>
      <c r="C25" s="7"/>
    </row>
    <row r="28" customFormat="false" ht="15" hidden="false" customHeight="false" outlineLevel="0" collapsed="false">
      <c r="B28" s="4" t="s">
        <v>21</v>
      </c>
    </row>
    <row r="29" customFormat="false" ht="15" hidden="false" customHeight="false" outlineLevel="0" collapsed="false">
      <c r="B29" s="8" t="s">
        <v>22</v>
      </c>
    </row>
    <row r="30" customFormat="false" ht="15" hidden="false" customHeight="false" outlineLevel="0" collapsed="false">
      <c r="B30" s="9" t="s">
        <v>23</v>
      </c>
    </row>
    <row r="31" customFormat="false" ht="15" hidden="false" customHeight="false" outlineLevel="0" collapsed="false">
      <c r="B31" s="10" t="s">
        <v>24</v>
      </c>
    </row>
  </sheetData>
  <mergeCells count="4">
    <mergeCell ref="B2:C2"/>
    <mergeCell ref="B3:C3"/>
    <mergeCell ref="B4:C4"/>
    <mergeCell ref="B20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14"/>
    <col collapsed="false" customWidth="true" hidden="false" outlineLevel="0" max="7" min="7" style="0" width="40"/>
  </cols>
  <sheetData>
    <row r="2" customFormat="false" ht="25.5" hidden="false" customHeight="true" outlineLevel="0" collapsed="false">
      <c r="B2" s="11" t="s">
        <v>25</v>
      </c>
      <c r="C2" s="11"/>
      <c r="D2" s="11"/>
      <c r="E2" s="11"/>
      <c r="F2" s="11"/>
      <c r="G2" s="11"/>
    </row>
    <row r="3" customFormat="false" ht="15" hidden="false" customHeight="false" outlineLevel="0" collapsed="false">
      <c r="B3" s="12" t="s">
        <v>26</v>
      </c>
      <c r="C3" s="12"/>
      <c r="D3" s="12"/>
      <c r="E3" s="12"/>
      <c r="F3" s="12"/>
      <c r="G3" s="12"/>
    </row>
    <row r="5" customFormat="false" ht="18" hidden="false" customHeight="true" outlineLevel="0" collapsed="false">
      <c r="B5" s="13" t="s">
        <v>27</v>
      </c>
      <c r="C5" s="13"/>
      <c r="D5" s="13"/>
      <c r="E5" s="13"/>
      <c r="F5" s="13"/>
      <c r="G5" s="13"/>
    </row>
    <row r="6" customFormat="false" ht="15" hidden="false" customHeight="false" outlineLevel="0" collapsed="false">
      <c r="C6" s="14" t="s">
        <v>28</v>
      </c>
      <c r="D6" s="14" t="s">
        <v>29</v>
      </c>
      <c r="E6" s="14" t="s">
        <v>30</v>
      </c>
      <c r="F6" s="14" t="s">
        <v>31</v>
      </c>
    </row>
    <row r="7" customFormat="false" ht="15" hidden="false" customHeight="false" outlineLevel="0" collapsed="false">
      <c r="B7" s="5" t="s">
        <v>32</v>
      </c>
      <c r="C7" s="15" t="n">
        <v>0.09</v>
      </c>
      <c r="D7" s="15" t="n">
        <v>0.085</v>
      </c>
      <c r="E7" s="15" t="n">
        <v>0.08</v>
      </c>
      <c r="F7" s="16" t="s">
        <v>33</v>
      </c>
      <c r="G7" s="16"/>
    </row>
    <row r="8" customFormat="false" ht="15" hidden="false" customHeight="false" outlineLevel="0" collapsed="false">
      <c r="B8" s="5" t="s">
        <v>34</v>
      </c>
      <c r="C8" s="15" t="n">
        <v>0.955</v>
      </c>
      <c r="D8" s="15" t="n">
        <v>0.955</v>
      </c>
      <c r="E8" s="15" t="n">
        <v>0.955</v>
      </c>
      <c r="F8" s="16" t="s">
        <v>35</v>
      </c>
      <c r="G8" s="16"/>
    </row>
    <row r="9" customFormat="false" ht="15" hidden="false" customHeight="false" outlineLevel="0" collapsed="false">
      <c r="B9" s="5" t="s">
        <v>36</v>
      </c>
      <c r="C9" s="15" t="n">
        <v>0.255</v>
      </c>
      <c r="D9" s="15" t="n">
        <v>0.263</v>
      </c>
      <c r="E9" s="15" t="n">
        <v>0.27</v>
      </c>
      <c r="F9" s="16" t="s">
        <v>37</v>
      </c>
      <c r="G9" s="16"/>
    </row>
    <row r="10" customFormat="false" ht="15" hidden="false" customHeight="false" outlineLevel="0" collapsed="false">
      <c r="B10" s="5" t="s">
        <v>38</v>
      </c>
      <c r="C10" s="15" t="n">
        <v>0.0545</v>
      </c>
      <c r="D10" s="15" t="n">
        <v>0.062</v>
      </c>
      <c r="E10" s="15" t="n">
        <v>0.07</v>
      </c>
      <c r="F10" s="16" t="s">
        <v>39</v>
      </c>
      <c r="G10" s="16"/>
    </row>
    <row r="11" customFormat="false" ht="15" hidden="false" customHeight="false" outlineLevel="0" collapsed="false">
      <c r="B11" s="5" t="s">
        <v>40</v>
      </c>
      <c r="C11" s="15" t="n">
        <v>0.021</v>
      </c>
      <c r="D11" s="15" t="n">
        <v>0.02</v>
      </c>
      <c r="E11" s="15" t="n">
        <v>0.019</v>
      </c>
      <c r="F11" s="16" t="s">
        <v>41</v>
      </c>
      <c r="G11" s="16"/>
    </row>
    <row r="12" customFormat="false" ht="15" hidden="false" customHeight="false" outlineLevel="0" collapsed="false">
      <c r="B12" s="5" t="s">
        <v>42</v>
      </c>
      <c r="C12" s="17" t="n">
        <v>-230</v>
      </c>
      <c r="D12" s="17" t="n">
        <v>-180</v>
      </c>
      <c r="E12" s="17" t="n">
        <v>-140</v>
      </c>
      <c r="F12" s="16" t="s">
        <v>43</v>
      </c>
      <c r="G12" s="16"/>
    </row>
    <row r="13" customFormat="false" ht="15" hidden="false" customHeight="false" outlineLevel="0" collapsed="false">
      <c r="B13" s="5" t="s">
        <v>44</v>
      </c>
      <c r="C13" s="17" t="n">
        <v>-95</v>
      </c>
      <c r="D13" s="17" t="n">
        <v>-110</v>
      </c>
      <c r="E13" s="17" t="n">
        <v>-125</v>
      </c>
      <c r="F13" s="16" t="s">
        <v>45</v>
      </c>
      <c r="G13" s="16"/>
    </row>
    <row r="14" customFormat="false" ht="15" hidden="false" customHeight="false" outlineLevel="0" collapsed="false">
      <c r="B14" s="5" t="s">
        <v>46</v>
      </c>
      <c r="C14" s="18" t="n">
        <v>300</v>
      </c>
      <c r="D14" s="18" t="n">
        <v>301</v>
      </c>
      <c r="E14" s="18" t="n">
        <v>302</v>
      </c>
      <c r="F14" s="16" t="s">
        <v>47</v>
      </c>
      <c r="G14" s="16"/>
    </row>
    <row r="16" customFormat="false" ht="18" hidden="false" customHeight="true" outlineLevel="0" collapsed="false">
      <c r="B16" s="13" t="s">
        <v>48</v>
      </c>
      <c r="C16" s="13"/>
      <c r="D16" s="13"/>
      <c r="E16" s="13"/>
      <c r="F16" s="13"/>
      <c r="G16" s="13"/>
    </row>
    <row r="17" customFormat="false" ht="15" hidden="false" customHeight="false" outlineLevel="0" collapsed="false">
      <c r="C17" s="14" t="s">
        <v>28</v>
      </c>
      <c r="D17" s="14" t="s">
        <v>29</v>
      </c>
      <c r="E17" s="14" t="s">
        <v>30</v>
      </c>
      <c r="F17" s="14" t="s">
        <v>31</v>
      </c>
    </row>
    <row r="18" customFormat="false" ht="15" hidden="false" customHeight="false" outlineLevel="0" collapsed="false">
      <c r="B18" s="5" t="s">
        <v>49</v>
      </c>
      <c r="C18" s="15" t="n">
        <v>0.09</v>
      </c>
      <c r="D18" s="15" t="n">
        <v>0.08</v>
      </c>
      <c r="E18" s="15" t="n">
        <v>0.075</v>
      </c>
      <c r="F18" s="16" t="s">
        <v>50</v>
      </c>
      <c r="G18" s="16"/>
    </row>
    <row r="19" customFormat="false" ht="15" hidden="false" customHeight="false" outlineLevel="0" collapsed="false">
      <c r="B19" s="5" t="s">
        <v>51</v>
      </c>
      <c r="C19" s="15" t="n">
        <v>0.16</v>
      </c>
      <c r="D19" s="15" t="n">
        <v>0.145</v>
      </c>
      <c r="E19" s="15" t="n">
        <v>0.13</v>
      </c>
      <c r="F19" s="16" t="s">
        <v>52</v>
      </c>
      <c r="G19" s="16"/>
    </row>
    <row r="20" customFormat="false" ht="15" hidden="false" customHeight="false" outlineLevel="0" collapsed="false">
      <c r="B20" s="5" t="s">
        <v>53</v>
      </c>
      <c r="C20" s="15" t="n">
        <v>0.24</v>
      </c>
      <c r="D20" s="15" t="n">
        <v>0.19</v>
      </c>
      <c r="E20" s="15" t="n">
        <v>0.16</v>
      </c>
      <c r="F20" s="16" t="s">
        <v>54</v>
      </c>
      <c r="G20" s="16"/>
    </row>
    <row r="21" customFormat="false" ht="15" hidden="false" customHeight="false" outlineLevel="0" collapsed="false">
      <c r="B21" s="5" t="s">
        <v>55</v>
      </c>
      <c r="C21" s="15" t="n">
        <v>0.14</v>
      </c>
      <c r="D21" s="15" t="n">
        <v>0.12</v>
      </c>
      <c r="E21" s="15" t="n">
        <v>0.11</v>
      </c>
      <c r="F21" s="16" t="s">
        <v>56</v>
      </c>
      <c r="G21" s="16"/>
    </row>
    <row r="22" customFormat="false" ht="15" hidden="false" customHeight="false" outlineLevel="0" collapsed="false">
      <c r="B22" s="5" t="s">
        <v>57</v>
      </c>
      <c r="C22" s="15" t="n">
        <v>0.2</v>
      </c>
      <c r="D22" s="15" t="n">
        <v>0.17</v>
      </c>
      <c r="E22" s="15" t="n">
        <v>0.15</v>
      </c>
      <c r="F22" s="16" t="s">
        <v>58</v>
      </c>
      <c r="G22" s="16"/>
    </row>
    <row r="24" customFormat="false" ht="15" hidden="false" customHeight="true" outlineLevel="0" collapsed="false">
      <c r="B24" s="19" t="s">
        <v>59</v>
      </c>
      <c r="C24" s="19"/>
      <c r="D24" s="19"/>
      <c r="E24" s="19"/>
      <c r="F24" s="19"/>
      <c r="G24" s="19"/>
    </row>
    <row r="25" customFormat="false" ht="15" hidden="false" customHeight="false" outlineLevel="0" collapsed="false">
      <c r="B25" s="19"/>
      <c r="C25" s="19"/>
      <c r="D25" s="19"/>
      <c r="E25" s="19"/>
      <c r="F25" s="19"/>
      <c r="G25" s="19"/>
    </row>
    <row r="26" customFormat="false" ht="15" hidden="false" customHeight="false" outlineLevel="0" collapsed="false">
      <c r="B26" s="19"/>
      <c r="C26" s="19"/>
      <c r="D26" s="19"/>
      <c r="E26" s="19"/>
      <c r="F26" s="19"/>
      <c r="G26" s="19"/>
    </row>
    <row r="27" customFormat="false" ht="15" hidden="false" customHeight="false" outlineLevel="0" collapsed="false">
      <c r="B27" s="19"/>
      <c r="C27" s="19"/>
      <c r="D27" s="19"/>
      <c r="E27" s="19"/>
      <c r="F27" s="19"/>
      <c r="G27" s="19"/>
    </row>
    <row r="29" customFormat="false" ht="18" hidden="false" customHeight="true" outlineLevel="0" collapsed="false">
      <c r="B29" s="13" t="s">
        <v>60</v>
      </c>
      <c r="C29" s="13"/>
      <c r="D29" s="13"/>
      <c r="E29" s="13"/>
      <c r="F29" s="13"/>
      <c r="G29" s="13"/>
    </row>
    <row r="30" customFormat="false" ht="15" hidden="false" customHeight="true" outlineLevel="0" collapsed="false">
      <c r="B30" s="19" t="s">
        <v>61</v>
      </c>
      <c r="C30" s="19"/>
      <c r="D30" s="19"/>
      <c r="E30" s="19"/>
      <c r="F30" s="19"/>
      <c r="G30" s="19"/>
    </row>
    <row r="31" customFormat="false" ht="15" hidden="false" customHeight="false" outlineLevel="0" collapsed="false">
      <c r="B31" s="19"/>
      <c r="C31" s="19"/>
      <c r="D31" s="19"/>
      <c r="E31" s="19"/>
      <c r="F31" s="19"/>
      <c r="G31" s="19"/>
    </row>
    <row r="32" customFormat="false" ht="15" hidden="false" customHeight="false" outlineLevel="0" collapsed="false">
      <c r="B32" s="19"/>
      <c r="C32" s="19"/>
      <c r="D32" s="19"/>
      <c r="E32" s="19"/>
      <c r="F32" s="19"/>
      <c r="G32" s="19"/>
    </row>
  </sheetData>
  <mergeCells count="20">
    <mergeCell ref="B2:G2"/>
    <mergeCell ref="B3:G3"/>
    <mergeCell ref="B5:G5"/>
    <mergeCell ref="F7:G7"/>
    <mergeCell ref="F8:G8"/>
    <mergeCell ref="F9:G9"/>
    <mergeCell ref="F10:G10"/>
    <mergeCell ref="F11:G11"/>
    <mergeCell ref="F12:G12"/>
    <mergeCell ref="F13:G13"/>
    <mergeCell ref="F14:G14"/>
    <mergeCell ref="B16:G16"/>
    <mergeCell ref="F18:G18"/>
    <mergeCell ref="F19:G19"/>
    <mergeCell ref="F20:G20"/>
    <mergeCell ref="F21:G21"/>
    <mergeCell ref="F22:G22"/>
    <mergeCell ref="B24:G27"/>
    <mergeCell ref="B29:G29"/>
    <mergeCell ref="B30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AA"/>
    <pageSetUpPr fitToPage="false"/>
  </sheetPr>
  <dimension ref="B2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8" min="3" style="0" width="13"/>
    <col collapsed="false" customWidth="true" hidden="false" outlineLevel="0" max="10" min="9" style="0" width="12"/>
    <col collapsed="false" customWidth="true" hidden="false" outlineLevel="0" max="11" min="11" style="0" width="3"/>
  </cols>
  <sheetData>
    <row r="2" customFormat="false" ht="25.5" hidden="false" customHeight="true" outlineLevel="0" collapsed="false">
      <c r="B2" s="11" t="s">
        <v>62</v>
      </c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B3" s="12" t="s">
        <v>63</v>
      </c>
      <c r="C3" s="12"/>
      <c r="D3" s="12"/>
      <c r="E3" s="12"/>
      <c r="F3" s="12"/>
      <c r="G3" s="12"/>
      <c r="H3" s="12"/>
      <c r="I3" s="12"/>
      <c r="J3" s="12"/>
    </row>
    <row r="5" customFormat="false" ht="18" hidden="false" customHeight="true" outlineLevel="0" collapsed="false">
      <c r="B5" s="13" t="s">
        <v>64</v>
      </c>
      <c r="C5" s="13"/>
      <c r="D5" s="13"/>
      <c r="E5" s="13"/>
      <c r="F5" s="13"/>
      <c r="G5" s="13"/>
      <c r="H5" s="13"/>
      <c r="I5" s="13"/>
      <c r="J5" s="13"/>
    </row>
    <row r="6" customFormat="false" ht="25.5" hidden="false" customHeight="true" outlineLevel="0" collapsed="false">
      <c r="C6" s="20" t="s">
        <v>65</v>
      </c>
      <c r="D6" s="20" t="s">
        <v>66</v>
      </c>
      <c r="E6" s="20" t="s">
        <v>67</v>
      </c>
      <c r="F6" s="20" t="s">
        <v>28</v>
      </c>
      <c r="G6" s="20" t="s">
        <v>29</v>
      </c>
      <c r="H6" s="20" t="s">
        <v>30</v>
      </c>
      <c r="I6" s="21" t="s">
        <v>68</v>
      </c>
      <c r="J6" s="21" t="s">
        <v>69</v>
      </c>
    </row>
    <row r="7" customFormat="false" ht="15" hidden="false" customHeight="false" outlineLevel="0" collapsed="false">
      <c r="B7" s="22" t="s">
        <v>49</v>
      </c>
      <c r="C7" s="23" t="n">
        <v>3729.3</v>
      </c>
      <c r="D7" s="23" t="n">
        <v>4071.9</v>
      </c>
      <c r="E7" s="23" t="n">
        <v>4417.7</v>
      </c>
      <c r="F7" s="24" t="n">
        <f aca="false">E7*(1+Assumptions!C18)</f>
        <v>4815.293</v>
      </c>
      <c r="G7" s="24" t="n">
        <f aca="false">F7*(1+Assumptions!D18)</f>
        <v>5200.51644</v>
      </c>
      <c r="H7" s="24" t="n">
        <f aca="false">G7*(1+Assumptions!E18)</f>
        <v>5590.555173</v>
      </c>
      <c r="I7" s="25" t="n">
        <f aca="false">(E7/C7)^(1/2)-1</f>
        <v>0.0883897660002253</v>
      </c>
      <c r="J7" s="25" t="n">
        <f aca="false">(H7/E7)^(1/3)-1</f>
        <v>0.0816487163744675</v>
      </c>
    </row>
    <row r="8" customFormat="false" ht="15" hidden="false" customHeight="false" outlineLevel="0" collapsed="false">
      <c r="B8" s="22" t="s">
        <v>51</v>
      </c>
      <c r="C8" s="23" t="n">
        <v>2700.8</v>
      </c>
      <c r="D8" s="23" t="n">
        <v>3527.8</v>
      </c>
      <c r="E8" s="23" t="n">
        <v>4033.7</v>
      </c>
      <c r="F8" s="24" t="n">
        <f aca="false">E8*(1+Assumptions!C19)</f>
        <v>4679.092</v>
      </c>
      <c r="G8" s="24" t="n">
        <f aca="false">F8*(1+Assumptions!D19)</f>
        <v>5357.56034</v>
      </c>
      <c r="H8" s="24" t="n">
        <f aca="false">G8*(1+Assumptions!E19)</f>
        <v>6054.0431842</v>
      </c>
      <c r="I8" s="25" t="n">
        <f aca="false">(E8/C8)^(1/2)-1</f>
        <v>0.22209673855576</v>
      </c>
      <c r="J8" s="25" t="n">
        <f aca="false">(H8/E8)^(1/3)-1</f>
        <v>0.144934494069044</v>
      </c>
    </row>
    <row r="9" customFormat="false" ht="15" hidden="false" customHeight="false" outlineLevel="0" collapsed="false">
      <c r="B9" s="22" t="s">
        <v>53</v>
      </c>
      <c r="C9" s="23" t="n">
        <v>1522.4</v>
      </c>
      <c r="D9" s="23" t="n">
        <v>1891.9</v>
      </c>
      <c r="E9" s="23" t="n">
        <v>2486.3</v>
      </c>
      <c r="F9" s="24" t="n">
        <f aca="false">E9*(1+Assumptions!C20)</f>
        <v>3083.012</v>
      </c>
      <c r="G9" s="24" t="n">
        <f aca="false">F9*(1+Assumptions!D20)</f>
        <v>3668.78428</v>
      </c>
      <c r="H9" s="24" t="n">
        <f aca="false">G9*(1+Assumptions!E20)</f>
        <v>4255.7897648</v>
      </c>
      <c r="I9" s="25" t="n">
        <f aca="false">(E9/C9)^(1/2)-1</f>
        <v>0.277945630360148</v>
      </c>
      <c r="J9" s="25" t="n">
        <f aca="false">(H9/E9)^(1/3)-1</f>
        <v>0.196213993617697</v>
      </c>
    </row>
    <row r="10" customFormat="false" ht="15" hidden="false" customHeight="false" outlineLevel="0" collapsed="false">
      <c r="B10" s="22" t="s">
        <v>55</v>
      </c>
      <c r="C10" s="23" t="n">
        <v>651</v>
      </c>
      <c r="D10" s="23" t="n">
        <v>939.6</v>
      </c>
      <c r="E10" s="23" t="n">
        <v>1057.6</v>
      </c>
      <c r="F10" s="24" t="n">
        <f aca="false">E10*(1+Assumptions!C21)</f>
        <v>1205.664</v>
      </c>
      <c r="G10" s="24" t="n">
        <f aca="false">F10*(1+Assumptions!D21)</f>
        <v>1350.34368</v>
      </c>
      <c r="H10" s="24" t="n">
        <f aca="false">G10*(1+Assumptions!E21)</f>
        <v>1498.8814848</v>
      </c>
      <c r="I10" s="25" t="n">
        <f aca="false">(E10/C10)^(1/2)-1</f>
        <v>0.274589178113744</v>
      </c>
      <c r="J10" s="25" t="n">
        <f aca="false">(H10/E10)^(1/3)-1</f>
        <v>0.123264286383078</v>
      </c>
    </row>
    <row r="11" customFormat="false" ht="15" hidden="false" customHeight="false" outlineLevel="0" collapsed="false">
      <c r="B11" s="22" t="s">
        <v>57</v>
      </c>
      <c r="C11" s="23" t="n">
        <v>2162.1</v>
      </c>
      <c r="D11" s="23" t="n">
        <v>2709.8</v>
      </c>
      <c r="E11" s="23" t="n">
        <v>3189</v>
      </c>
      <c r="F11" s="24" t="n">
        <f aca="false">E11*(1+Assumptions!C22)</f>
        <v>3826.8</v>
      </c>
      <c r="G11" s="24" t="n">
        <f aca="false">F11*(1+Assumptions!D22)</f>
        <v>4477.356</v>
      </c>
      <c r="H11" s="24" t="n">
        <f aca="false">G11*(1+Assumptions!E22)</f>
        <v>5148.9594</v>
      </c>
      <c r="I11" s="25" t="n">
        <f aca="false">(E11/C11)^(1/2)-1</f>
        <v>0.214477214670377</v>
      </c>
      <c r="J11" s="25" t="n">
        <f aca="false">(H11/E11)^(1/3)-1</f>
        <v>0.173153883828215</v>
      </c>
    </row>
    <row r="12" customFormat="false" ht="15" hidden="false" customHeight="false" outlineLevel="0" collapsed="false">
      <c r="B12" s="26" t="s">
        <v>70</v>
      </c>
      <c r="C12" s="27" t="n">
        <f aca="false">SUM(C7:C11)</f>
        <v>10765.6</v>
      </c>
      <c r="D12" s="27" t="n">
        <f aca="false">SUM(D7:D11)</f>
        <v>13141</v>
      </c>
      <c r="E12" s="27" t="n">
        <f aca="false">SUM(E7:E11)</f>
        <v>15184.3</v>
      </c>
      <c r="F12" s="27" t="n">
        <f aca="false">SUM(F7:F11)</f>
        <v>17609.861</v>
      </c>
      <c r="G12" s="27" t="n">
        <f aca="false">SUM(G7:G11)</f>
        <v>20054.56074</v>
      </c>
      <c r="H12" s="27" t="n">
        <f aca="false">SUM(H7:H11)</f>
        <v>22548.2290068</v>
      </c>
    </row>
    <row r="13" customFormat="false" ht="13.5" hidden="false" customHeight="true" outlineLevel="0" collapsed="false">
      <c r="B13" s="26" t="s">
        <v>71</v>
      </c>
      <c r="C13" s="27" t="n">
        <f aca="false">C14-C12</f>
        <v>334.4</v>
      </c>
      <c r="D13" s="27" t="n">
        <f aca="false">D14-D12</f>
        <v>-344.6</v>
      </c>
      <c r="E13" s="27" t="n">
        <f aca="false">E14-E12</f>
        <v>-380.9</v>
      </c>
      <c r="F13" s="27" t="n">
        <f aca="false">F12*($E13/$E12)</f>
        <v>-441.745490730557</v>
      </c>
      <c r="G13" s="27" t="n">
        <f aca="false">G12*($E13/$E12)</f>
        <v>-503.071079066272</v>
      </c>
      <c r="H13" s="27" t="n">
        <f aca="false">H12*($E13/$E12)</f>
        <v>-565.625048812926</v>
      </c>
    </row>
    <row r="14" customFormat="false" ht="15" hidden="false" customHeight="false" outlineLevel="0" collapsed="false">
      <c r="B14" s="28" t="s">
        <v>72</v>
      </c>
      <c r="C14" s="29" t="n">
        <v>11100</v>
      </c>
      <c r="D14" s="29" t="n">
        <v>12796.4</v>
      </c>
      <c r="E14" s="29" t="n">
        <v>14803.4</v>
      </c>
      <c r="F14" s="30" t="n">
        <f aca="false">F12+F13</f>
        <v>17168.1155092694</v>
      </c>
      <c r="G14" s="30" t="n">
        <f aca="false">G12+G13</f>
        <v>19551.4896609337</v>
      </c>
      <c r="H14" s="30" t="n">
        <f aca="false">H12+H13</f>
        <v>21982.6039579871</v>
      </c>
      <c r="I14" s="25" t="n">
        <f aca="false">(E14/C14)^(1/2)-1</f>
        <v>0.154833165283903</v>
      </c>
      <c r="J14" s="25" t="n">
        <f aca="false">(H14/E14)^(1/3)-1</f>
        <v>0.140878039182486</v>
      </c>
    </row>
    <row r="16" customFormat="false" ht="15" hidden="false" customHeight="false" outlineLevel="0" collapsed="false">
      <c r="B16" s="16" t="s">
        <v>73</v>
      </c>
      <c r="C16" s="16"/>
      <c r="D16" s="16"/>
      <c r="E16" s="16"/>
      <c r="F16" s="16"/>
      <c r="G16" s="16"/>
      <c r="H16" s="16"/>
      <c r="I16" s="16"/>
      <c r="J16" s="16"/>
    </row>
    <row r="18" customFormat="false" ht="18" hidden="false" customHeight="true" outlineLevel="0" collapsed="false">
      <c r="B18" s="13" t="s">
        <v>74</v>
      </c>
      <c r="C18" s="13"/>
      <c r="D18" s="13"/>
      <c r="E18" s="13"/>
      <c r="F18" s="13"/>
      <c r="G18" s="13"/>
      <c r="H18" s="13"/>
      <c r="I18" s="13"/>
      <c r="J18" s="13"/>
    </row>
    <row r="19" customFormat="false" ht="25.5" hidden="false" customHeight="true" outlineLevel="0" collapsed="false">
      <c r="C19" s="20" t="s">
        <v>65</v>
      </c>
      <c r="D19" s="20" t="s">
        <v>66</v>
      </c>
      <c r="E19" s="20" t="s">
        <v>67</v>
      </c>
      <c r="F19" s="20" t="s">
        <v>28</v>
      </c>
      <c r="G19" s="20" t="s">
        <v>29</v>
      </c>
      <c r="H19" s="20" t="s">
        <v>30</v>
      </c>
      <c r="I19" s="21"/>
      <c r="J19" s="21"/>
    </row>
    <row r="20" customFormat="false" ht="15" hidden="false" customHeight="false" outlineLevel="0" collapsed="false">
      <c r="B20" s="5" t="s">
        <v>49</v>
      </c>
      <c r="C20" s="31" t="s">
        <v>75</v>
      </c>
      <c r="D20" s="32" t="n">
        <f aca="false">D7/C7-1</f>
        <v>0.0918671064274796</v>
      </c>
      <c r="E20" s="32" t="n">
        <f aca="false">E7/D7-1</f>
        <v>0.084923500085955</v>
      </c>
      <c r="F20" s="32" t="n">
        <f aca="false">F7/E7-1</f>
        <v>0.0900000000000001</v>
      </c>
      <c r="G20" s="32" t="n">
        <f aca="false">G7/F7-1</f>
        <v>0.0800000000000001</v>
      </c>
      <c r="H20" s="32" t="n">
        <f aca="false">H7/G7-1</f>
        <v>0.075</v>
      </c>
    </row>
    <row r="21" customFormat="false" ht="15" hidden="false" customHeight="false" outlineLevel="0" collapsed="false">
      <c r="B21" s="5" t="s">
        <v>51</v>
      </c>
      <c r="C21" s="31" t="s">
        <v>75</v>
      </c>
      <c r="D21" s="32" t="n">
        <f aca="false">D8/C8-1</f>
        <v>0.306205568720379</v>
      </c>
      <c r="E21" s="32" t="n">
        <f aca="false">E8/D8-1</f>
        <v>0.143403821078292</v>
      </c>
      <c r="F21" s="32" t="n">
        <f aca="false">F8/E8-1</f>
        <v>0.16</v>
      </c>
      <c r="G21" s="32" t="n">
        <f aca="false">G8/F8-1</f>
        <v>0.145</v>
      </c>
      <c r="H21" s="32" t="n">
        <f aca="false">H8/G8-1</f>
        <v>0.13</v>
      </c>
    </row>
    <row r="22" customFormat="false" ht="15" hidden="false" customHeight="false" outlineLevel="0" collapsed="false">
      <c r="B22" s="5" t="s">
        <v>53</v>
      </c>
      <c r="C22" s="31" t="s">
        <v>75</v>
      </c>
      <c r="D22" s="32" t="n">
        <f aca="false">D9/C9-1</f>
        <v>0.242708880714661</v>
      </c>
      <c r="E22" s="32" t="n">
        <f aca="false">E9/D9-1</f>
        <v>0.314181510650669</v>
      </c>
      <c r="F22" s="32" t="n">
        <f aca="false">F9/E9-1</f>
        <v>0.24</v>
      </c>
      <c r="G22" s="32" t="n">
        <f aca="false">G9/F9-1</f>
        <v>0.19</v>
      </c>
      <c r="H22" s="32" t="n">
        <f aca="false">H9/G9-1</f>
        <v>0.16</v>
      </c>
    </row>
    <row r="23" customFormat="false" ht="15" hidden="false" customHeight="false" outlineLevel="0" collapsed="false">
      <c r="B23" s="5" t="s">
        <v>55</v>
      </c>
      <c r="C23" s="31" t="s">
        <v>75</v>
      </c>
      <c r="D23" s="32" t="n">
        <f aca="false">D10/C10-1</f>
        <v>0.443317972350231</v>
      </c>
      <c r="E23" s="32" t="n">
        <f aca="false">E10/D10-1</f>
        <v>0.125585355470413</v>
      </c>
      <c r="F23" s="32" t="n">
        <f aca="false">F10/E10-1</f>
        <v>0.14</v>
      </c>
      <c r="G23" s="32" t="n">
        <f aca="false">G10/F10-1</f>
        <v>0.12</v>
      </c>
      <c r="H23" s="32" t="n">
        <f aca="false">H10/G10-1</f>
        <v>0.11</v>
      </c>
    </row>
    <row r="24" customFormat="false" ht="15" hidden="false" customHeight="false" outlineLevel="0" collapsed="false">
      <c r="B24" s="5" t="s">
        <v>76</v>
      </c>
      <c r="C24" s="31" t="s">
        <v>75</v>
      </c>
      <c r="D24" s="32" t="n">
        <f aca="false">D11/C11-1</f>
        <v>0.253318532907821</v>
      </c>
      <c r="E24" s="32" t="n">
        <f aca="false">E11/D11-1</f>
        <v>0.176839619160086</v>
      </c>
      <c r="F24" s="32" t="n">
        <f aca="false">F11/E11-1</f>
        <v>0.2</v>
      </c>
      <c r="G24" s="32" t="n">
        <f aca="false">G11/F11-1</f>
        <v>0.17</v>
      </c>
      <c r="H24" s="32" t="n">
        <f aca="false">H11/G11-1</f>
        <v>0.15</v>
      </c>
    </row>
    <row r="25" customFormat="false" ht="15" hidden="false" customHeight="false" outlineLevel="0" collapsed="false">
      <c r="B25" s="6" t="s">
        <v>72</v>
      </c>
      <c r="C25" s="31" t="s">
        <v>75</v>
      </c>
      <c r="D25" s="33" t="n">
        <f aca="false">D14/C14-1</f>
        <v>0.152828828828829</v>
      </c>
      <c r="E25" s="33" t="n">
        <f aca="false">E14/D14-1</f>
        <v>0.156840986527461</v>
      </c>
      <c r="F25" s="33" t="n">
        <f aca="false">F14/E14-1</f>
        <v>0.159741377607134</v>
      </c>
      <c r="G25" s="33" t="n">
        <f aca="false">G14/F14-1</f>
        <v>0.138825612536067</v>
      </c>
      <c r="H25" s="33" t="n">
        <f aca="false">H14/G14-1</f>
        <v>0.124344197767754</v>
      </c>
    </row>
    <row r="27" customFormat="false" ht="18" hidden="false" customHeight="true" outlineLevel="0" collapsed="false">
      <c r="B27" s="13" t="s">
        <v>77</v>
      </c>
      <c r="C27" s="13"/>
      <c r="D27" s="13"/>
      <c r="E27" s="13"/>
      <c r="F27" s="13"/>
      <c r="G27" s="13"/>
      <c r="H27" s="13"/>
      <c r="I27" s="13"/>
      <c r="J27" s="13"/>
    </row>
    <row r="28" customFormat="false" ht="25.5" hidden="false" customHeight="true" outlineLevel="0" collapsed="false">
      <c r="C28" s="20" t="s">
        <v>65</v>
      </c>
      <c r="D28" s="20" t="s">
        <v>66</v>
      </c>
      <c r="E28" s="20" t="s">
        <v>67</v>
      </c>
      <c r="F28" s="20" t="s">
        <v>28</v>
      </c>
      <c r="G28" s="20" t="s">
        <v>29</v>
      </c>
      <c r="H28" s="20" t="s">
        <v>30</v>
      </c>
      <c r="I28" s="21"/>
      <c r="J28" s="21"/>
    </row>
    <row r="29" customFormat="false" ht="15" hidden="false" customHeight="false" outlineLevel="0" collapsed="false">
      <c r="B29" s="5" t="s">
        <v>49</v>
      </c>
      <c r="C29" s="32" t="n">
        <f aca="false">C7/C14</f>
        <v>0.335972972972973</v>
      </c>
      <c r="D29" s="32" t="n">
        <f aca="false">D7/D14</f>
        <v>0.31820668312963</v>
      </c>
      <c r="E29" s="32" t="n">
        <f aca="false">E7/E14</f>
        <v>0.298424686220733</v>
      </c>
      <c r="F29" s="32" t="n">
        <f aca="false">F7/F14</f>
        <v>0.280478832834047</v>
      </c>
      <c r="G29" s="32" t="n">
        <f aca="false">G7/G14</f>
        <v>0.265990803268115</v>
      </c>
      <c r="H29" s="32" t="n">
        <f aca="false">H7/H14</f>
        <v>0.25431724029076</v>
      </c>
    </row>
    <row r="30" customFormat="false" ht="15" hidden="false" customHeight="false" outlineLevel="0" collapsed="false">
      <c r="B30" s="5" t="s">
        <v>51</v>
      </c>
      <c r="C30" s="32" t="n">
        <f aca="false">C8/C14</f>
        <v>0.243315315315315</v>
      </c>
      <c r="D30" s="32" t="n">
        <f aca="false">D8/D14</f>
        <v>0.275686911943984</v>
      </c>
      <c r="E30" s="32" t="n">
        <f aca="false">E8/E14</f>
        <v>0.272484699460935</v>
      </c>
      <c r="F30" s="32" t="n">
        <f aca="false">F8/F14</f>
        <v>0.272545463564341</v>
      </c>
      <c r="G30" s="32" t="n">
        <f aca="false">G8/G14</f>
        <v>0.274023127286565</v>
      </c>
      <c r="H30" s="32" t="n">
        <f aca="false">H8/H14</f>
        <v>0.275401549141786</v>
      </c>
    </row>
    <row r="31" customFormat="false" ht="15" hidden="false" customHeight="false" outlineLevel="0" collapsed="false">
      <c r="B31" s="5" t="s">
        <v>53</v>
      </c>
      <c r="C31" s="32" t="n">
        <f aca="false">C9/C14</f>
        <v>0.137153153153153</v>
      </c>
      <c r="D31" s="32" t="n">
        <f aca="false">D9/D14</f>
        <v>0.14784626926323</v>
      </c>
      <c r="E31" s="32" t="n">
        <f aca="false">E9/E14</f>
        <v>0.167954659064809</v>
      </c>
      <c r="F31" s="32" t="n">
        <f aca="false">F9/F14</f>
        <v>0.179577775926275</v>
      </c>
      <c r="G31" s="32" t="n">
        <f aca="false">G9/G14</f>
        <v>0.187647301746561</v>
      </c>
      <c r="H31" s="32" t="n">
        <f aca="false">H9/H14</f>
        <v>0.193598072955034</v>
      </c>
    </row>
    <row r="32" customFormat="false" ht="15" hidden="false" customHeight="false" outlineLevel="0" collapsed="false">
      <c r="B32" s="5" t="s">
        <v>55</v>
      </c>
      <c r="C32" s="32" t="n">
        <f aca="false">C10/C14</f>
        <v>0.0586486486486486</v>
      </c>
      <c r="D32" s="32" t="n">
        <f aca="false">D10/D14</f>
        <v>0.0734269013159951</v>
      </c>
      <c r="E32" s="32" t="n">
        <f aca="false">E10/E14</f>
        <v>0.0714430468676115</v>
      </c>
      <c r="F32" s="32" t="n">
        <f aca="false">F10/F14</f>
        <v>0.0702269273147094</v>
      </c>
      <c r="G32" s="32" t="n">
        <f aca="false">G10/G14</f>
        <v>0.0690660253217509</v>
      </c>
      <c r="H32" s="32" t="n">
        <f aca="false">H10/H14</f>
        <v>0.0681848923660112</v>
      </c>
    </row>
    <row r="33" customFormat="false" ht="15" hidden="false" customHeight="false" outlineLevel="0" collapsed="false">
      <c r="B33" s="5" t="s">
        <v>76</v>
      </c>
      <c r="C33" s="32" t="n">
        <f aca="false">C11/C14</f>
        <v>0.194783783783784</v>
      </c>
      <c r="D33" s="32" t="n">
        <f aca="false">D11/D14</f>
        <v>0.211762683254665</v>
      </c>
      <c r="E33" s="32" t="n">
        <f aca="false">E11/E14</f>
        <v>0.215423483794264</v>
      </c>
      <c r="F33" s="32" t="n">
        <f aca="false">F11/F14</f>
        <v>0.222901575768979</v>
      </c>
      <c r="G33" s="32" t="n">
        <f aca="false">G11/G14</f>
        <v>0.229003317785361</v>
      </c>
      <c r="H33" s="32" t="n">
        <f aca="false">H11/H14</f>
        <v>0.234228820654761</v>
      </c>
    </row>
    <row r="35" customFormat="false" ht="18" hidden="false" customHeight="true" outlineLevel="0" collapsed="false">
      <c r="B35" s="13" t="s">
        <v>78</v>
      </c>
      <c r="C35" s="13"/>
      <c r="D35" s="13"/>
      <c r="E35" s="13"/>
      <c r="F35" s="13"/>
      <c r="G35" s="13"/>
      <c r="H35" s="13"/>
      <c r="I35" s="13"/>
      <c r="J35" s="13"/>
    </row>
    <row r="36" customFormat="false" ht="25.5" hidden="false" customHeight="true" outlineLevel="0" collapsed="false">
      <c r="C36" s="20" t="s">
        <v>65</v>
      </c>
      <c r="D36" s="20" t="s">
        <v>66</v>
      </c>
      <c r="E36" s="20" t="s">
        <v>67</v>
      </c>
      <c r="F36" s="20" t="s">
        <v>28</v>
      </c>
      <c r="G36" s="20" t="s">
        <v>29</v>
      </c>
      <c r="H36" s="20" t="s">
        <v>30</v>
      </c>
      <c r="I36" s="21"/>
      <c r="J36" s="21"/>
    </row>
    <row r="37" customFormat="false" ht="15" hidden="false" customHeight="false" outlineLevel="0" collapsed="false">
      <c r="B37" s="5" t="s">
        <v>49</v>
      </c>
      <c r="C37" s="34" t="s">
        <v>75</v>
      </c>
      <c r="D37" s="35" t="n">
        <v>23407.4</v>
      </c>
      <c r="E37" s="35" t="n">
        <v>20779.7</v>
      </c>
      <c r="F37" s="24" t="n">
        <f aca="false">$E37/$E$41*F41</f>
        <v>22649.873</v>
      </c>
      <c r="G37" s="24" t="n">
        <f aca="false">$E37/$E$41*G41</f>
        <v>24575.112205</v>
      </c>
      <c r="H37" s="24" t="n">
        <f aca="false">$E37/$E$41*H41</f>
        <v>26541.1211814</v>
      </c>
    </row>
    <row r="38" customFormat="false" ht="15" hidden="false" customHeight="false" outlineLevel="0" collapsed="false">
      <c r="B38" s="5" t="s">
        <v>51</v>
      </c>
      <c r="C38" s="34" t="s">
        <v>75</v>
      </c>
      <c r="D38" s="35" t="n">
        <v>12825.9</v>
      </c>
      <c r="E38" s="35" t="n">
        <v>14644.3</v>
      </c>
      <c r="F38" s="24" t="n">
        <f aca="false">$E38/$E$41*F41</f>
        <v>15962.287</v>
      </c>
      <c r="G38" s="24" t="n">
        <f aca="false">$E38/$E$41*G41</f>
        <v>17319.081395</v>
      </c>
      <c r="H38" s="24" t="n">
        <f aca="false">$E38/$E$41*H41</f>
        <v>18704.6079066</v>
      </c>
    </row>
    <row r="39" customFormat="false" ht="15" hidden="false" customHeight="false" outlineLevel="0" collapsed="false">
      <c r="B39" s="5" t="s">
        <v>53</v>
      </c>
      <c r="C39" s="34" t="s">
        <v>75</v>
      </c>
      <c r="D39" s="35" t="n">
        <v>8878.7</v>
      </c>
      <c r="E39" s="35" t="n">
        <v>9693.2</v>
      </c>
      <c r="F39" s="24" t="n">
        <f aca="false">$E39/$E$41*F41</f>
        <v>10565.588</v>
      </c>
      <c r="G39" s="24" t="n">
        <f aca="false">$E39/$E$41*G41</f>
        <v>11463.66298</v>
      </c>
      <c r="H39" s="24" t="n">
        <f aca="false">$E39/$E$41*H41</f>
        <v>12380.7560184</v>
      </c>
    </row>
    <row r="40" customFormat="false" ht="15" hidden="false" customHeight="false" outlineLevel="0" collapsed="false">
      <c r="B40" s="5" t="s">
        <v>55</v>
      </c>
      <c r="C40" s="34" t="s">
        <v>75</v>
      </c>
      <c r="D40" s="35" t="n">
        <v>3642</v>
      </c>
      <c r="E40" s="35" t="n">
        <v>4079.6</v>
      </c>
      <c r="F40" s="24" t="n">
        <f aca="false">$E40/$E$41*F41</f>
        <v>4446.764</v>
      </c>
      <c r="G40" s="24" t="n">
        <f aca="false">$E40/$E$41*G41</f>
        <v>4824.73894</v>
      </c>
      <c r="H40" s="24" t="n">
        <f aca="false">$E40/$E$41*H41</f>
        <v>5210.7180552</v>
      </c>
    </row>
    <row r="41" customFormat="false" ht="15" hidden="false" customHeight="false" outlineLevel="0" collapsed="false">
      <c r="B41" s="6" t="s">
        <v>79</v>
      </c>
      <c r="C41" s="36" t="s">
        <v>75</v>
      </c>
      <c r="D41" s="30" t="n">
        <f aca="false">SUM(D37:D40)</f>
        <v>48754</v>
      </c>
      <c r="E41" s="30" t="n">
        <f aca="false">SUM(E37:E40)</f>
        <v>49196.8</v>
      </c>
      <c r="F41" s="30" t="n">
        <f aca="false">E41*(1+Assumptions!C7)</f>
        <v>53624.512</v>
      </c>
      <c r="G41" s="30" t="n">
        <f aca="false">F41*(1+Assumptions!D7)</f>
        <v>58182.59552</v>
      </c>
      <c r="H41" s="30" t="n">
        <f aca="false">G41*(1+Assumptions!E7)</f>
        <v>62837.2031616</v>
      </c>
    </row>
    <row r="42" customFormat="false" ht="15" hidden="false" customHeight="false" outlineLevel="0" collapsed="false">
      <c r="B42" s="37" t="s">
        <v>80</v>
      </c>
      <c r="C42" s="34" t="s">
        <v>75</v>
      </c>
      <c r="D42" s="38" t="n">
        <v>2904.7</v>
      </c>
      <c r="E42" s="38" t="n">
        <v>3432.3</v>
      </c>
      <c r="F42" s="27" t="n">
        <f aca="false">E42*(1+Assumptions!C22)</f>
        <v>4118.76</v>
      </c>
      <c r="G42" s="27" t="n">
        <f aca="false">F42*(1+Assumptions!D22)</f>
        <v>4818.9492</v>
      </c>
      <c r="H42" s="27" t="n">
        <f aca="false">G42*(1+Assumptions!E22)</f>
        <v>5541.79158</v>
      </c>
    </row>
    <row r="43" customFormat="false" ht="15" hidden="false" customHeight="false" outlineLevel="0" collapsed="false">
      <c r="B43" s="16" t="s">
        <v>81</v>
      </c>
      <c r="C43" s="16"/>
      <c r="D43" s="16"/>
      <c r="E43" s="16"/>
      <c r="F43" s="16"/>
      <c r="G43" s="16"/>
      <c r="H43" s="16"/>
      <c r="I43" s="16"/>
      <c r="J43" s="16"/>
    </row>
    <row r="45" customFormat="false" ht="18" hidden="false" customHeight="true" outlineLevel="0" collapsed="false">
      <c r="B45" s="13" t="s">
        <v>82</v>
      </c>
      <c r="C45" s="13"/>
      <c r="D45" s="13"/>
      <c r="E45" s="13"/>
      <c r="F45" s="13"/>
      <c r="G45" s="13"/>
      <c r="H45" s="13"/>
      <c r="I45" s="13"/>
      <c r="J45" s="13"/>
    </row>
    <row r="46" customFormat="false" ht="25.5" hidden="false" customHeight="true" outlineLevel="0" collapsed="false">
      <c r="C46" s="20" t="s">
        <v>65</v>
      </c>
      <c r="D46" s="20" t="s">
        <v>66</v>
      </c>
      <c r="E46" s="20" t="s">
        <v>67</v>
      </c>
      <c r="F46" s="20" t="s">
        <v>28</v>
      </c>
      <c r="G46" s="20" t="s">
        <v>29</v>
      </c>
      <c r="H46" s="20" t="s">
        <v>30</v>
      </c>
      <c r="I46" s="21"/>
      <c r="J46" s="21"/>
    </row>
    <row r="47" customFormat="false" ht="15" hidden="false" customHeight="false" outlineLevel="0" collapsed="false">
      <c r="B47" s="5" t="s">
        <v>83</v>
      </c>
      <c r="C47" s="34" t="s">
        <v>75</v>
      </c>
      <c r="D47" s="32" t="n">
        <f aca="false">D14/D41</f>
        <v>0.26246872051524</v>
      </c>
      <c r="E47" s="32" t="n">
        <f aca="false">E14/E41</f>
        <v>0.300901684662417</v>
      </c>
      <c r="F47" s="32" t="n">
        <f aca="false">F14/F41</f>
        <v>0.320154251646513</v>
      </c>
      <c r="G47" s="32" t="n">
        <f aca="false">G14/G41</f>
        <v>0.336036738928448</v>
      </c>
      <c r="H47" s="32" t="n">
        <f aca="false">H14/H41</f>
        <v>0.34983422004722</v>
      </c>
    </row>
  </sheetData>
  <mergeCells count="9">
    <mergeCell ref="B2:J2"/>
    <mergeCell ref="B3:J3"/>
    <mergeCell ref="B5:J5"/>
    <mergeCell ref="B16:J16"/>
    <mergeCell ref="B18:J18"/>
    <mergeCell ref="B27:J27"/>
    <mergeCell ref="B35:J35"/>
    <mergeCell ref="B43:J43"/>
    <mergeCell ref="B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AA"/>
    <pageSetUpPr fitToPage="false"/>
  </sheetPr>
  <dimension ref="B2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2" min="3" style="0" width="12"/>
    <col collapsed="false" customWidth="true" hidden="false" outlineLevel="0" max="13" min="13" style="0" width="3"/>
  </cols>
  <sheetData>
    <row r="2" customFormat="false" ht="25.5" hidden="false" customHeight="true" outlineLevel="0" collapsed="false">
      <c r="B2" s="11" t="s">
        <v>84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B3" s="12" t="s">
        <v>85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5" customFormat="false" ht="18" hidden="false" customHeight="true" outlineLevel="0" collapsed="false">
      <c r="B5" s="13" t="s">
        <v>86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25.5" hidden="false" customHeight="true" outlineLevel="0" collapsed="false">
      <c r="C6" s="20" t="s">
        <v>87</v>
      </c>
      <c r="D6" s="20" t="s">
        <v>88</v>
      </c>
      <c r="E6" s="20" t="s">
        <v>65</v>
      </c>
      <c r="F6" s="20" t="s">
        <v>66</v>
      </c>
      <c r="G6" s="20" t="s">
        <v>67</v>
      </c>
      <c r="H6" s="20" t="s">
        <v>28</v>
      </c>
      <c r="I6" s="20" t="s">
        <v>29</v>
      </c>
      <c r="J6" s="20" t="s">
        <v>30</v>
      </c>
      <c r="K6" s="21" t="s">
        <v>89</v>
      </c>
      <c r="L6" s="21" t="s">
        <v>90</v>
      </c>
    </row>
    <row r="7" customFormat="false" ht="15" hidden="false" customHeight="false" outlineLevel="0" collapsed="false">
      <c r="B7" s="22" t="s">
        <v>91</v>
      </c>
      <c r="C7" s="31" t="s">
        <v>75</v>
      </c>
      <c r="D7" s="31" t="s">
        <v>75</v>
      </c>
      <c r="E7" s="39" t="n">
        <f aca="false">'Segment Detail'!C14</f>
        <v>11100</v>
      </c>
      <c r="F7" s="39" t="n">
        <f aca="false">'Segment Detail'!D14</f>
        <v>12796.4</v>
      </c>
      <c r="G7" s="39" t="n">
        <f aca="false">'Segment Detail'!E14</f>
        <v>14803.4</v>
      </c>
      <c r="H7" s="24" t="n">
        <f aca="false">'Segment Detail'!F14</f>
        <v>17168.1155092694</v>
      </c>
      <c r="I7" s="24" t="n">
        <f aca="false">'Segment Detail'!G14</f>
        <v>19551.4896609337</v>
      </c>
      <c r="J7" s="24" t="n">
        <f aca="false">'Segment Detail'!H14</f>
        <v>21982.6039579871</v>
      </c>
    </row>
    <row r="8" customFormat="false" ht="15" hidden="false" customHeight="false" outlineLevel="0" collapsed="false">
      <c r="B8" s="37" t="s">
        <v>92</v>
      </c>
      <c r="C8" s="34" t="s">
        <v>75</v>
      </c>
      <c r="D8" s="34" t="s">
        <v>75</v>
      </c>
      <c r="E8" s="34" t="s">
        <v>75</v>
      </c>
      <c r="F8" s="40" t="n">
        <f aca="false">F7/E7-1</f>
        <v>0.152828828828829</v>
      </c>
      <c r="G8" s="40" t="n">
        <f aca="false">G7/F7-1</f>
        <v>0.156840986527461</v>
      </c>
      <c r="H8" s="40" t="n">
        <f aca="false">H7/G7-1</f>
        <v>0.159741377607134</v>
      </c>
      <c r="I8" s="40" t="n">
        <f aca="false">I7/H7-1</f>
        <v>0.138825612536067</v>
      </c>
      <c r="J8" s="40" t="n">
        <f aca="false">J7/I7-1</f>
        <v>0.124344197767754</v>
      </c>
    </row>
    <row r="9" customFormat="false" ht="15" hidden="false" customHeight="false" outlineLevel="0" collapsed="false">
      <c r="B9" s="28" t="s">
        <v>93</v>
      </c>
      <c r="C9" s="29" t="n">
        <v>5856</v>
      </c>
      <c r="D9" s="29" t="n">
        <v>8577</v>
      </c>
      <c r="E9" s="29" t="n">
        <v>9942</v>
      </c>
      <c r="F9" s="29" t="n">
        <v>12295</v>
      </c>
      <c r="G9" s="29" t="n">
        <v>14060</v>
      </c>
      <c r="H9" s="30" t="n">
        <f aca="false">H7*Assumptions!C8</f>
        <v>16395.5503113523</v>
      </c>
      <c r="I9" s="30" t="n">
        <f aca="false">I7*Assumptions!D8</f>
        <v>18671.6726261917</v>
      </c>
      <c r="J9" s="30" t="n">
        <f aca="false">J7*Assumptions!E8</f>
        <v>20993.3867798777</v>
      </c>
    </row>
    <row r="10" customFormat="false" ht="15" hidden="false" customHeight="false" outlineLevel="0" collapsed="false">
      <c r="B10" s="37" t="s">
        <v>92</v>
      </c>
      <c r="C10" s="34" t="s">
        <v>75</v>
      </c>
      <c r="D10" s="40" t="n">
        <f aca="false">D9/C9-1</f>
        <v>0.464651639344262</v>
      </c>
      <c r="E10" s="40" t="n">
        <f aca="false">E9/D9-1</f>
        <v>0.159146554739419</v>
      </c>
      <c r="F10" s="40" t="n">
        <f aca="false">F9/E9-1</f>
        <v>0.236672701669684</v>
      </c>
      <c r="G10" s="40" t="n">
        <f aca="false">G9/F9-1</f>
        <v>0.143554290361936</v>
      </c>
      <c r="H10" s="40" t="n">
        <f aca="false">H9/G9-1</f>
        <v>0.166113108915527</v>
      </c>
      <c r="I10" s="40" t="n">
        <f aca="false">I9/H9-1</f>
        <v>0.138825612536067</v>
      </c>
      <c r="J10" s="40" t="n">
        <f aca="false">J9/I9-1</f>
        <v>0.124344197767754</v>
      </c>
      <c r="K10" s="41" t="n">
        <f aca="false">(G9/C9)^(1/4)-1</f>
        <v>0.244789920881372</v>
      </c>
      <c r="L10" s="41" t="n">
        <f aca="false">(J9/G9)^(1/3)-1</f>
        <v>0.142963589195859</v>
      </c>
    </row>
    <row r="12" customFormat="false" ht="18" hidden="false" customHeight="true" outlineLevel="0" collapsed="false">
      <c r="B12" s="13" t="s">
        <v>94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25.5" hidden="false" customHeight="true" outlineLevel="0" collapsed="false">
      <c r="C13" s="20" t="s">
        <v>87</v>
      </c>
      <c r="D13" s="20" t="s">
        <v>88</v>
      </c>
      <c r="E13" s="20" t="s">
        <v>65</v>
      </c>
      <c r="F13" s="20" t="s">
        <v>66</v>
      </c>
      <c r="G13" s="20" t="s">
        <v>67</v>
      </c>
      <c r="H13" s="20" t="s">
        <v>28</v>
      </c>
      <c r="I13" s="20" t="s">
        <v>29</v>
      </c>
      <c r="J13" s="20" t="s">
        <v>30</v>
      </c>
      <c r="K13" s="21" t="s">
        <v>89</v>
      </c>
      <c r="L13" s="21" t="s">
        <v>90</v>
      </c>
    </row>
    <row r="14" customFormat="false" ht="15" hidden="false" customHeight="false" outlineLevel="0" collapsed="false">
      <c r="B14" s="28" t="s">
        <v>94</v>
      </c>
      <c r="C14" s="29" t="n">
        <v>1258</v>
      </c>
      <c r="D14" s="29" t="n">
        <v>2232</v>
      </c>
      <c r="E14" s="29" t="n">
        <v>2973</v>
      </c>
      <c r="F14" s="29" t="n">
        <v>3329</v>
      </c>
      <c r="G14" s="29" t="n">
        <v>3433</v>
      </c>
      <c r="H14" s="30" t="n">
        <f aca="false">H9*Assumptions!C9</f>
        <v>4180.86532939484</v>
      </c>
      <c r="I14" s="30" t="n">
        <f aca="false">I9*Assumptions!D9</f>
        <v>4910.64990068842</v>
      </c>
      <c r="J14" s="30" t="n">
        <f aca="false">J9*Assumptions!E9</f>
        <v>5668.21443056697</v>
      </c>
    </row>
    <row r="15" customFormat="false" ht="15" hidden="false" customHeight="false" outlineLevel="0" collapsed="false">
      <c r="B15" s="42" t="s">
        <v>95</v>
      </c>
      <c r="C15" s="27" t="n">
        <f aca="false">-(C9-C14)</f>
        <v>-4598</v>
      </c>
      <c r="D15" s="27" t="n">
        <f aca="false">-(D9-D14)</f>
        <v>-6345</v>
      </c>
      <c r="E15" s="27" t="n">
        <f aca="false">-(E9-E14)</f>
        <v>-6969</v>
      </c>
      <c r="F15" s="27" t="n">
        <f aca="false">-(F9-F14)</f>
        <v>-8966</v>
      </c>
      <c r="G15" s="27" t="n">
        <f aca="false">-(G9-G14)</f>
        <v>-10627</v>
      </c>
      <c r="H15" s="27" t="n">
        <f aca="false">-(H9-H14)</f>
        <v>-12214.6849819575</v>
      </c>
      <c r="I15" s="27" t="n">
        <f aca="false">-(I9-I14)</f>
        <v>-13761.0227255033</v>
      </c>
      <c r="J15" s="27" t="n">
        <f aca="false">-(J9-J14)</f>
        <v>-15325.1723493107</v>
      </c>
    </row>
    <row r="16" customFormat="false" ht="15" hidden="false" customHeight="false" outlineLevel="0" collapsed="false">
      <c r="B16" s="5" t="s">
        <v>96</v>
      </c>
      <c r="C16" s="32" t="n">
        <f aca="false">C14/C9</f>
        <v>0.214822404371585</v>
      </c>
      <c r="D16" s="32" t="n">
        <f aca="false">D14/D9</f>
        <v>0.260230849947534</v>
      </c>
      <c r="E16" s="32" t="n">
        <f aca="false">E14/E9</f>
        <v>0.2990343995172</v>
      </c>
      <c r="F16" s="32" t="n">
        <f aca="false">F14/F9</f>
        <v>0.270760471736478</v>
      </c>
      <c r="G16" s="32" t="n">
        <f aca="false">G14/G9</f>
        <v>0.244167852062589</v>
      </c>
      <c r="H16" s="32" t="n">
        <f aca="false">H14/H9</f>
        <v>0.255</v>
      </c>
      <c r="I16" s="32" t="n">
        <f aca="false">I14/I9</f>
        <v>0.263</v>
      </c>
      <c r="J16" s="32" t="n">
        <f aca="false">J14/J9</f>
        <v>0.27</v>
      </c>
    </row>
    <row r="18" customFormat="false" ht="18" hidden="false" customHeight="true" outlineLevel="0" collapsed="false">
      <c r="B18" s="13" t="s">
        <v>97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customFormat="false" ht="25.5" hidden="false" customHeight="true" outlineLevel="0" collapsed="false">
      <c r="C19" s="20" t="s">
        <v>87</v>
      </c>
      <c r="D19" s="20" t="s">
        <v>88</v>
      </c>
      <c r="E19" s="20" t="s">
        <v>65</v>
      </c>
      <c r="F19" s="20" t="s">
        <v>66</v>
      </c>
      <c r="G19" s="20" t="s">
        <v>67</v>
      </c>
      <c r="H19" s="20" t="s">
        <v>28</v>
      </c>
      <c r="I19" s="20" t="s">
        <v>29</v>
      </c>
      <c r="J19" s="20" t="s">
        <v>30</v>
      </c>
      <c r="K19" s="21" t="s">
        <v>89</v>
      </c>
      <c r="L19" s="21" t="s">
        <v>90</v>
      </c>
    </row>
    <row r="20" customFormat="false" ht="15" hidden="false" customHeight="false" outlineLevel="0" collapsed="false">
      <c r="B20" s="28" t="s">
        <v>98</v>
      </c>
      <c r="C20" s="31" t="s">
        <v>75</v>
      </c>
      <c r="D20" s="31" t="s">
        <v>75</v>
      </c>
      <c r="E20" s="29" t="n">
        <v>253.3</v>
      </c>
      <c r="F20" s="29" t="n">
        <v>692.5</v>
      </c>
      <c r="G20" s="29" t="n">
        <v>906</v>
      </c>
      <c r="H20" s="30" t="n">
        <f aca="false">H7*Assumptions!C10</f>
        <v>935.662295255185</v>
      </c>
      <c r="I20" s="30" t="n">
        <f aca="false">I7*Assumptions!D10</f>
        <v>1212.19235897789</v>
      </c>
      <c r="J20" s="30" t="n">
        <f aca="false">J7*Assumptions!E10</f>
        <v>1538.7822770591</v>
      </c>
    </row>
    <row r="21" customFormat="false" ht="15" hidden="false" customHeight="false" outlineLevel="0" collapsed="false">
      <c r="B21" s="37" t="s">
        <v>92</v>
      </c>
      <c r="C21" s="34" t="s">
        <v>75</v>
      </c>
      <c r="D21" s="34" t="s">
        <v>75</v>
      </c>
      <c r="E21" s="34" t="s">
        <v>75</v>
      </c>
      <c r="F21" s="40" t="n">
        <f aca="false">F20/E20-1</f>
        <v>1.73391235688906</v>
      </c>
      <c r="G21" s="40" t="n">
        <f aca="false">G20/F20-1</f>
        <v>0.308303249097473</v>
      </c>
      <c r="H21" s="40" t="n">
        <f aca="false">H20/G20-1</f>
        <v>0.0327398402375105</v>
      </c>
      <c r="I21" s="40" t="n">
        <f aca="false">I20/H20-1</f>
        <v>0.295544733527269</v>
      </c>
      <c r="J21" s="40" t="n">
        <f aca="false">J20/I20-1</f>
        <v>0.269420868447465</v>
      </c>
    </row>
    <row r="22" customFormat="false" ht="15" hidden="false" customHeight="false" outlineLevel="0" collapsed="false">
      <c r="B22" s="5" t="s">
        <v>99</v>
      </c>
      <c r="C22" s="34" t="s">
        <v>75</v>
      </c>
      <c r="D22" s="34" t="s">
        <v>75</v>
      </c>
      <c r="E22" s="32" t="n">
        <f aca="false">E20/E7</f>
        <v>0.0228198198198198</v>
      </c>
      <c r="F22" s="32" t="n">
        <f aca="false">F20/F7</f>
        <v>0.0541167828451752</v>
      </c>
      <c r="G22" s="32" t="n">
        <f aca="false">G20/G7</f>
        <v>0.0612021562613994</v>
      </c>
      <c r="H22" s="32" t="n">
        <f aca="false">H20/H7</f>
        <v>0.0545</v>
      </c>
      <c r="I22" s="32" t="n">
        <f aca="false">I20/I7</f>
        <v>0.062</v>
      </c>
      <c r="J22" s="32" t="n">
        <f aca="false">J20/J7</f>
        <v>0.07</v>
      </c>
    </row>
    <row r="23" customFormat="false" ht="15" hidden="false" customHeight="false" outlineLevel="0" collapsed="false">
      <c r="B23" s="5" t="s">
        <v>100</v>
      </c>
      <c r="C23" s="34" t="s">
        <v>75</v>
      </c>
      <c r="D23" s="34" t="s">
        <v>75</v>
      </c>
      <c r="E23" s="34" t="s">
        <v>75</v>
      </c>
      <c r="F23" s="32" t="n">
        <f aca="false">F20/'Segment Detail'!D41</f>
        <v>0.0142039627517742</v>
      </c>
      <c r="G23" s="32" t="n">
        <f aca="false">G20/'Segment Detail'!E41</f>
        <v>0.0184158319240276</v>
      </c>
      <c r="H23" s="32" t="n">
        <f aca="false">H20/'Segment Detail'!F41</f>
        <v>0.0174484067147349</v>
      </c>
      <c r="I23" s="32" t="n">
        <f aca="false">I20/'Segment Detail'!G41</f>
        <v>0.0208342778135638</v>
      </c>
      <c r="J23" s="32" t="n">
        <f aca="false">J20/'Segment Detail'!H41</f>
        <v>0.0244883954033054</v>
      </c>
    </row>
    <row r="24" customFormat="false" ht="15" hidden="false" customHeight="false" outlineLevel="0" collapsed="false">
      <c r="B24" s="16" t="s">
        <v>101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6" customFormat="false" ht="18" hidden="false" customHeight="true" outlineLevel="0" collapsed="false">
      <c r="B26" s="13" t="s">
        <v>102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customFormat="false" ht="25.5" hidden="false" customHeight="true" outlineLevel="0" collapsed="false">
      <c r="C27" s="20" t="s">
        <v>87</v>
      </c>
      <c r="D27" s="20" t="s">
        <v>88</v>
      </c>
      <c r="E27" s="20" t="s">
        <v>65</v>
      </c>
      <c r="F27" s="20" t="s">
        <v>66</v>
      </c>
      <c r="G27" s="20" t="s">
        <v>67</v>
      </c>
      <c r="H27" s="20" t="s">
        <v>28</v>
      </c>
      <c r="I27" s="20" t="s">
        <v>29</v>
      </c>
      <c r="J27" s="20" t="s">
        <v>30</v>
      </c>
      <c r="K27" s="21" t="s">
        <v>89</v>
      </c>
      <c r="L27" s="21" t="s">
        <v>90</v>
      </c>
    </row>
    <row r="28" customFormat="false" ht="15" hidden="false" customHeight="false" outlineLevel="0" collapsed="false">
      <c r="B28" s="37" t="s">
        <v>103</v>
      </c>
      <c r="C28" s="34" t="s">
        <v>75</v>
      </c>
      <c r="D28" s="34" t="s">
        <v>75</v>
      </c>
      <c r="E28" s="34" t="s">
        <v>75</v>
      </c>
      <c r="F28" s="34" t="s">
        <v>75</v>
      </c>
      <c r="G28" s="34" t="s">
        <v>75</v>
      </c>
      <c r="H28" s="27" t="n">
        <f aca="false">-H9*Assumptions!C11</f>
        <v>-344.306556538399</v>
      </c>
      <c r="I28" s="27" t="n">
        <f aca="false">-I9*Assumptions!D11</f>
        <v>-373.433452523834</v>
      </c>
      <c r="J28" s="27" t="n">
        <f aca="false">-J9*Assumptions!E11</f>
        <v>-398.874348817675</v>
      </c>
    </row>
    <row r="29" customFormat="false" ht="15" hidden="false" customHeight="false" outlineLevel="0" collapsed="false">
      <c r="B29" s="28" t="s">
        <v>104</v>
      </c>
      <c r="C29" s="29" t="n">
        <v>-1659</v>
      </c>
      <c r="D29" s="29" t="n">
        <v>-1437</v>
      </c>
      <c r="E29" s="29" t="n">
        <v>-707.4</v>
      </c>
      <c r="F29" s="29" t="n">
        <v>-261.2</v>
      </c>
      <c r="G29" s="29" t="n">
        <v>93.7</v>
      </c>
      <c r="H29" s="30" t="n">
        <f aca="false">H20+H28</f>
        <v>591.355738716786</v>
      </c>
      <c r="I29" s="30" t="n">
        <f aca="false">I20+I28</f>
        <v>838.758906454057</v>
      </c>
      <c r="J29" s="30" t="n">
        <f aca="false">J20+J28</f>
        <v>1139.90792824142</v>
      </c>
    </row>
    <row r="30" customFormat="false" ht="15" hidden="false" customHeight="false" outlineLevel="0" collapsed="false">
      <c r="B30" s="5" t="s">
        <v>105</v>
      </c>
      <c r="C30" s="32" t="n">
        <f aca="false">C29/C9</f>
        <v>-0.283299180327869</v>
      </c>
      <c r="D30" s="32" t="n">
        <f aca="false">D29/D9</f>
        <v>-0.167541098286114</v>
      </c>
      <c r="E30" s="32" t="n">
        <f aca="false">E29/E9</f>
        <v>-0.0711526855763428</v>
      </c>
      <c r="F30" s="32" t="n">
        <f aca="false">F29/F9</f>
        <v>-0.0212444082960553</v>
      </c>
      <c r="G30" s="32" t="n">
        <f aca="false">G29/G9</f>
        <v>0.00666429587482219</v>
      </c>
      <c r="H30" s="32" t="n">
        <f aca="false">H29/H9</f>
        <v>0.0360680628272251</v>
      </c>
      <c r="I30" s="32" t="n">
        <f aca="false">I29/I9</f>
        <v>0.0449214659685864</v>
      </c>
      <c r="J30" s="32" t="n">
        <f aca="false">J29/J9</f>
        <v>0.0542984293193717</v>
      </c>
    </row>
    <row r="32" customFormat="false" ht="18" hidden="false" customHeight="true" outlineLevel="0" collapsed="false">
      <c r="B32" s="13" t="s">
        <v>106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customFormat="false" ht="25.5" hidden="false" customHeight="true" outlineLevel="0" collapsed="false">
      <c r="C33" s="20" t="s">
        <v>87</v>
      </c>
      <c r="D33" s="20" t="s">
        <v>88</v>
      </c>
      <c r="E33" s="20" t="s">
        <v>65</v>
      </c>
      <c r="F33" s="20" t="s">
        <v>66</v>
      </c>
      <c r="G33" s="20" t="s">
        <v>67</v>
      </c>
      <c r="H33" s="20" t="s">
        <v>28</v>
      </c>
      <c r="I33" s="20" t="s">
        <v>29</v>
      </c>
      <c r="J33" s="20" t="s">
        <v>30</v>
      </c>
      <c r="K33" s="21" t="s">
        <v>89</v>
      </c>
      <c r="L33" s="21" t="s">
        <v>90</v>
      </c>
    </row>
    <row r="34" customFormat="false" ht="15" hidden="false" customHeight="false" outlineLevel="0" collapsed="false">
      <c r="B34" s="5" t="s">
        <v>107</v>
      </c>
      <c r="C34" s="34" t="s">
        <v>75</v>
      </c>
      <c r="D34" s="34" t="s">
        <v>75</v>
      </c>
      <c r="E34" s="34" t="s">
        <v>75</v>
      </c>
      <c r="F34" s="34" t="s">
        <v>75</v>
      </c>
      <c r="G34" s="34" t="s">
        <v>75</v>
      </c>
      <c r="H34" s="24" t="n">
        <f aca="false">Assumptions!C12</f>
        <v>-230</v>
      </c>
      <c r="I34" s="24" t="n">
        <f aca="false">Assumptions!D12</f>
        <v>-180</v>
      </c>
      <c r="J34" s="24" t="n">
        <f aca="false">Assumptions!E12</f>
        <v>-140</v>
      </c>
    </row>
    <row r="35" customFormat="false" ht="15" hidden="false" customHeight="false" outlineLevel="0" collapsed="false">
      <c r="B35" s="5" t="s">
        <v>108</v>
      </c>
      <c r="C35" s="34" t="s">
        <v>75</v>
      </c>
      <c r="D35" s="34" t="s">
        <v>75</v>
      </c>
      <c r="E35" s="34" t="s">
        <v>75</v>
      </c>
      <c r="F35" s="34" t="s">
        <v>75</v>
      </c>
      <c r="G35" s="34" t="s">
        <v>75</v>
      </c>
      <c r="H35" s="24" t="n">
        <f aca="false">H29+H34</f>
        <v>361.355738716786</v>
      </c>
      <c r="I35" s="24" t="n">
        <f aca="false">I29+I34</f>
        <v>658.758906454057</v>
      </c>
      <c r="J35" s="24" t="n">
        <f aca="false">J29+J34</f>
        <v>999.90792824142</v>
      </c>
    </row>
    <row r="36" customFormat="false" ht="15" hidden="false" customHeight="false" outlineLevel="0" collapsed="false">
      <c r="B36" s="5" t="s">
        <v>109</v>
      </c>
      <c r="C36" s="34" t="s">
        <v>75</v>
      </c>
      <c r="D36" s="34" t="s">
        <v>75</v>
      </c>
      <c r="E36" s="34" t="s">
        <v>75</v>
      </c>
      <c r="F36" s="34" t="s">
        <v>75</v>
      </c>
      <c r="G36" s="34" t="s">
        <v>75</v>
      </c>
      <c r="H36" s="24" t="n">
        <f aca="false">Assumptions!C13</f>
        <v>-95</v>
      </c>
      <c r="I36" s="24" t="n">
        <f aca="false">Assumptions!D13</f>
        <v>-110</v>
      </c>
      <c r="J36" s="24" t="n">
        <f aca="false">Assumptions!E13</f>
        <v>-125</v>
      </c>
    </row>
    <row r="37" customFormat="false" ht="15" hidden="false" customHeight="false" outlineLevel="0" collapsed="false">
      <c r="B37" s="37" t="s">
        <v>110</v>
      </c>
      <c r="C37" s="27" t="n">
        <f aca="false">C38-C29</f>
        <v>535</v>
      </c>
      <c r="D37" s="27" t="n">
        <f aca="false">D38-D29</f>
        <v>-1571</v>
      </c>
      <c r="E37" s="27" t="n">
        <f aca="false">E38-E29</f>
        <v>-1590.6</v>
      </c>
      <c r="F37" s="27" t="n">
        <f aca="false">F38-F29</f>
        <v>-621.2</v>
      </c>
      <c r="G37" s="27" t="n">
        <f aca="false">G38-G29</f>
        <v>-876.6</v>
      </c>
      <c r="H37" s="34" t="s">
        <v>75</v>
      </c>
      <c r="I37" s="34" t="s">
        <v>75</v>
      </c>
      <c r="J37" s="34" t="s">
        <v>75</v>
      </c>
    </row>
    <row r="38" customFormat="false" ht="15" hidden="false" customHeight="false" outlineLevel="0" collapsed="false">
      <c r="B38" s="28" t="s">
        <v>111</v>
      </c>
      <c r="C38" s="29" t="n">
        <v>-1124</v>
      </c>
      <c r="D38" s="29" t="n">
        <v>-3008</v>
      </c>
      <c r="E38" s="29" t="n">
        <v>-2298</v>
      </c>
      <c r="F38" s="29" t="n">
        <v>-882.4</v>
      </c>
      <c r="G38" s="29" t="n">
        <v>-782.9</v>
      </c>
      <c r="H38" s="30" t="n">
        <f aca="false">H35+H36</f>
        <v>266.355738716786</v>
      </c>
      <c r="I38" s="30" t="n">
        <f aca="false">I35+I36</f>
        <v>548.758906454057</v>
      </c>
      <c r="J38" s="30" t="n">
        <f aca="false">J35+J36</f>
        <v>874.90792824142</v>
      </c>
    </row>
    <row r="39" customFormat="false" ht="15" hidden="false" customHeight="false" outlineLevel="0" collapsed="false">
      <c r="B39" s="5" t="s">
        <v>112</v>
      </c>
      <c r="C39" s="32" t="n">
        <f aca="false">C38/C9</f>
        <v>-0.191939890710383</v>
      </c>
      <c r="D39" s="32" t="n">
        <f aca="false">D38/D9</f>
        <v>-0.350705374839688</v>
      </c>
      <c r="E39" s="32" t="n">
        <f aca="false">E38/E9</f>
        <v>-0.231140615570308</v>
      </c>
      <c r="F39" s="32" t="n">
        <f aca="false">F38/F9</f>
        <v>-0.071769011793412</v>
      </c>
      <c r="G39" s="32" t="n">
        <f aca="false">G38/G9</f>
        <v>-0.0556827880512091</v>
      </c>
      <c r="H39" s="32" t="n">
        <f aca="false">H38/H9</f>
        <v>0.0162456113798364</v>
      </c>
      <c r="I39" s="32" t="n">
        <f aca="false">I38/I9</f>
        <v>0.0293899168778423</v>
      </c>
      <c r="J39" s="32" t="n">
        <f aca="false">J38/J9</f>
        <v>0.0416754065180196</v>
      </c>
    </row>
    <row r="40" customFormat="false" ht="15" hidden="false" customHeight="false" outlineLevel="0" collapsed="false">
      <c r="B40" s="37" t="s">
        <v>113</v>
      </c>
      <c r="C40" s="43" t="n">
        <f aca="false">C38/C41</f>
        <v>245.951859956236</v>
      </c>
      <c r="D40" s="43" t="n">
        <f aca="false">D38/D41</f>
        <v>266.666666666667</v>
      </c>
      <c r="E40" s="43" t="n">
        <f aca="false">E38/E41</f>
        <v>268.144690781797</v>
      </c>
      <c r="F40" s="43" t="n">
        <f aca="false">F38/F41</f>
        <v>284.645161290323</v>
      </c>
      <c r="G40" s="43" t="n">
        <f aca="false">G38/G41</f>
        <v>298.81679389313</v>
      </c>
      <c r="H40" s="43" t="n">
        <f aca="false">Assumptions!C14</f>
        <v>300</v>
      </c>
      <c r="I40" s="43" t="n">
        <f aca="false">Assumptions!D14</f>
        <v>301</v>
      </c>
      <c r="J40" s="43" t="n">
        <f aca="false">Assumptions!E14</f>
        <v>302</v>
      </c>
    </row>
    <row r="41" customFormat="false" ht="15" hidden="false" customHeight="false" outlineLevel="0" collapsed="false">
      <c r="B41" s="28" t="s">
        <v>114</v>
      </c>
      <c r="C41" s="44" t="n">
        <v>-4.57</v>
      </c>
      <c r="D41" s="44" t="n">
        <v>-11.28</v>
      </c>
      <c r="E41" s="44" t="n">
        <v>-8.57</v>
      </c>
      <c r="F41" s="44" t="n">
        <v>-3.1</v>
      </c>
      <c r="G41" s="44" t="n">
        <v>-2.62</v>
      </c>
      <c r="H41" s="45" t="n">
        <f aca="false">H38/Assumptions!C14</f>
        <v>0.887852462389287</v>
      </c>
      <c r="I41" s="45" t="n">
        <f aca="false">I38/Assumptions!D14</f>
        <v>1.82311929054504</v>
      </c>
      <c r="J41" s="45" t="n">
        <f aca="false">J38/Assumptions!E14</f>
        <v>2.8970461200047</v>
      </c>
    </row>
    <row r="43" customFormat="false" ht="30" hidden="false" customHeight="true" outlineLevel="0" collapsed="false">
      <c r="B43" s="16" t="s">
        <v>115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</sheetData>
  <mergeCells count="9">
    <mergeCell ref="B2:L2"/>
    <mergeCell ref="B3:L3"/>
    <mergeCell ref="B5:L5"/>
    <mergeCell ref="B12:L12"/>
    <mergeCell ref="B18:L18"/>
    <mergeCell ref="B24:L24"/>
    <mergeCell ref="B26:L26"/>
    <mergeCell ref="B32:L32"/>
    <mergeCell ref="B43:L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34"/>
    <pageSetUpPr fitToPage="false"/>
  </sheetPr>
  <dimension ref="B2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3"/>
    <col collapsed="false" customWidth="true" hidden="false" outlineLevel="0" max="9" min="9" style="0" width="3"/>
  </cols>
  <sheetData>
    <row r="2" customFormat="false" ht="25.5" hidden="false" customHeight="true" outlineLevel="0" collapsed="false">
      <c r="B2" s="11" t="s">
        <v>116</v>
      </c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B3" s="12" t="s">
        <v>117</v>
      </c>
      <c r="C3" s="12"/>
      <c r="D3" s="12"/>
      <c r="E3" s="12"/>
      <c r="F3" s="12"/>
      <c r="G3" s="12"/>
      <c r="H3" s="12"/>
    </row>
    <row r="5" customFormat="false" ht="18" hidden="false" customHeight="true" outlineLevel="0" collapsed="false">
      <c r="B5" s="13" t="s">
        <v>118</v>
      </c>
      <c r="C5" s="13"/>
      <c r="D5" s="13"/>
      <c r="E5" s="13"/>
      <c r="F5" s="13"/>
      <c r="G5" s="13"/>
      <c r="H5" s="13"/>
    </row>
    <row r="6" customFormat="false" ht="15.75" hidden="false" customHeight="true" outlineLevel="0" collapsed="false">
      <c r="C6" s="20" t="s">
        <v>65</v>
      </c>
      <c r="D6" s="20" t="s">
        <v>66</v>
      </c>
      <c r="E6" s="20" t="s">
        <v>67</v>
      </c>
      <c r="F6" s="20" t="s">
        <v>28</v>
      </c>
      <c r="G6" s="20" t="s">
        <v>29</v>
      </c>
      <c r="H6" s="20" t="s">
        <v>30</v>
      </c>
    </row>
    <row r="7" customFormat="false" ht="15" hidden="false" customHeight="false" outlineLevel="0" collapsed="false">
      <c r="B7" s="28" t="s">
        <v>93</v>
      </c>
      <c r="C7" s="30" t="n">
        <f aca="false">'Income Statement'!E9</f>
        <v>9942</v>
      </c>
      <c r="D7" s="30" t="n">
        <f aca="false">'Income Statement'!F9</f>
        <v>12295</v>
      </c>
      <c r="E7" s="30" t="n">
        <f aca="false">'Income Statement'!G9</f>
        <v>14060</v>
      </c>
      <c r="F7" s="30" t="n">
        <f aca="false">'Income Statement'!H9</f>
        <v>16395.5503113523</v>
      </c>
      <c r="G7" s="30" t="n">
        <f aca="false">'Income Statement'!I9</f>
        <v>18671.6726261917</v>
      </c>
      <c r="H7" s="30" t="n">
        <f aca="false">'Income Statement'!J9</f>
        <v>20993.3867798777</v>
      </c>
    </row>
    <row r="8" customFormat="false" ht="15" hidden="false" customHeight="false" outlineLevel="0" collapsed="false">
      <c r="B8" s="37" t="s">
        <v>119</v>
      </c>
      <c r="C8" s="40" t="n">
        <f aca="false">'Income Statement'!E10</f>
        <v>0.159146554739419</v>
      </c>
      <c r="D8" s="40" t="n">
        <f aca="false">'Income Statement'!F10</f>
        <v>0.236672701669684</v>
      </c>
      <c r="E8" s="40" t="n">
        <f aca="false">'Income Statement'!G10</f>
        <v>0.143554290361936</v>
      </c>
      <c r="F8" s="40" t="n">
        <f aca="false">'Income Statement'!H10</f>
        <v>0.166113108915527</v>
      </c>
      <c r="G8" s="40" t="n">
        <f aca="false">'Income Statement'!I10</f>
        <v>0.138825612536067</v>
      </c>
      <c r="H8" s="40" t="n">
        <f aca="false">'Income Statement'!J10</f>
        <v>0.124344197767754</v>
      </c>
    </row>
    <row r="9" customFormat="false" ht="15" hidden="false" customHeight="false" outlineLevel="0" collapsed="false">
      <c r="B9" s="22" t="s">
        <v>72</v>
      </c>
      <c r="C9" s="24" t="n">
        <f aca="false">'Income Statement'!E7</f>
        <v>11100</v>
      </c>
      <c r="D9" s="24" t="n">
        <f aca="false">'Income Statement'!F7</f>
        <v>12796.4</v>
      </c>
      <c r="E9" s="24" t="n">
        <f aca="false">'Income Statement'!G7</f>
        <v>14803.4</v>
      </c>
      <c r="F9" s="24" t="n">
        <f aca="false">'Income Statement'!H7</f>
        <v>17168.1155092694</v>
      </c>
      <c r="G9" s="24" t="n">
        <f aca="false">'Income Statement'!I7</f>
        <v>19551.4896609337</v>
      </c>
      <c r="H9" s="24" t="n">
        <f aca="false">'Income Statement'!J7</f>
        <v>21982.6039579871</v>
      </c>
    </row>
    <row r="10" customFormat="false" ht="15" hidden="false" customHeight="false" outlineLevel="0" collapsed="false">
      <c r="B10" s="22" t="s">
        <v>120</v>
      </c>
      <c r="C10" s="24" t="str">
        <f aca="false">'Segment Detail'!C41</f>
        <v>n/a</v>
      </c>
      <c r="D10" s="24" t="n">
        <f aca="false">'Segment Detail'!D41</f>
        <v>48754</v>
      </c>
      <c r="E10" s="24" t="n">
        <f aca="false">'Segment Detail'!E41</f>
        <v>49196.8</v>
      </c>
      <c r="F10" s="24" t="n">
        <f aca="false">'Segment Detail'!F41</f>
        <v>53624.512</v>
      </c>
      <c r="G10" s="24" t="n">
        <f aca="false">'Segment Detail'!G41</f>
        <v>58182.59552</v>
      </c>
      <c r="H10" s="24" t="n">
        <f aca="false">'Segment Detail'!H41</f>
        <v>62837.2031616</v>
      </c>
    </row>
    <row r="11" customFormat="false" ht="15" hidden="false" customHeight="false" outlineLevel="0" collapsed="false">
      <c r="B11" s="37" t="s">
        <v>121</v>
      </c>
      <c r="C11" s="34" t="s">
        <v>75</v>
      </c>
      <c r="D11" s="34" t="s">
        <v>75</v>
      </c>
      <c r="E11" s="40" t="n">
        <f aca="false">'Segment Detail'!E41/'Segment Detail'!D41-1</f>
        <v>0.00908233170611639</v>
      </c>
      <c r="F11" s="40" t="n">
        <f aca="false">Assumptions!C7</f>
        <v>0.09</v>
      </c>
      <c r="G11" s="40" t="n">
        <f aca="false">Assumptions!D7</f>
        <v>0.085</v>
      </c>
      <c r="H11" s="40" t="n">
        <f aca="false">Assumptions!E7</f>
        <v>0.08</v>
      </c>
    </row>
    <row r="12" customFormat="false" ht="15" hidden="false" customHeight="false" outlineLevel="0" collapsed="false">
      <c r="B12" s="28" t="s">
        <v>98</v>
      </c>
      <c r="C12" s="30" t="n">
        <f aca="false">'Income Statement'!E20</f>
        <v>253.3</v>
      </c>
      <c r="D12" s="30" t="n">
        <f aca="false">'Income Statement'!F20</f>
        <v>692.5</v>
      </c>
      <c r="E12" s="30" t="n">
        <f aca="false">'Income Statement'!G20</f>
        <v>906</v>
      </c>
      <c r="F12" s="30" t="n">
        <f aca="false">'Income Statement'!H20</f>
        <v>935.662295255185</v>
      </c>
      <c r="G12" s="30" t="n">
        <f aca="false">'Income Statement'!I20</f>
        <v>1212.19235897789</v>
      </c>
      <c r="H12" s="30" t="n">
        <f aca="false">'Income Statement'!J20</f>
        <v>1538.7822770591</v>
      </c>
    </row>
    <row r="13" customFormat="false" ht="15" hidden="false" customHeight="false" outlineLevel="0" collapsed="false">
      <c r="B13" s="37" t="s">
        <v>122</v>
      </c>
      <c r="C13" s="40" t="n">
        <f aca="false">'Income Statement'!E22</f>
        <v>0.0228198198198198</v>
      </c>
      <c r="D13" s="40" t="n">
        <f aca="false">'Income Statement'!F22</f>
        <v>0.0541167828451752</v>
      </c>
      <c r="E13" s="40" t="n">
        <f aca="false">'Income Statement'!G22</f>
        <v>0.0612021562613994</v>
      </c>
      <c r="F13" s="40" t="n">
        <f aca="false">'Income Statement'!H22</f>
        <v>0.0545</v>
      </c>
      <c r="G13" s="40" t="n">
        <f aca="false">'Income Statement'!I22</f>
        <v>0.062</v>
      </c>
      <c r="H13" s="40" t="n">
        <f aca="false">'Income Statement'!J22</f>
        <v>0.07</v>
      </c>
    </row>
    <row r="14" customFormat="false" ht="15" hidden="false" customHeight="false" outlineLevel="0" collapsed="false">
      <c r="B14" s="28" t="s">
        <v>111</v>
      </c>
      <c r="C14" s="30" t="n">
        <f aca="false">'Income Statement'!E38</f>
        <v>-2298</v>
      </c>
      <c r="D14" s="30" t="n">
        <f aca="false">'Income Statement'!F38</f>
        <v>-882.4</v>
      </c>
      <c r="E14" s="30" t="n">
        <f aca="false">'Income Statement'!G38</f>
        <v>-782.9</v>
      </c>
      <c r="F14" s="30" t="n">
        <f aca="false">'Income Statement'!H38</f>
        <v>266.355738716786</v>
      </c>
      <c r="G14" s="30" t="n">
        <f aca="false">'Income Statement'!I38</f>
        <v>548.758906454057</v>
      </c>
      <c r="H14" s="30" t="n">
        <f aca="false">'Income Statement'!J38</f>
        <v>874.90792824142</v>
      </c>
    </row>
    <row r="15" customFormat="false" ht="15" hidden="false" customHeight="false" outlineLevel="0" collapsed="false">
      <c r="B15" s="28" t="s">
        <v>114</v>
      </c>
      <c r="C15" s="45" t="n">
        <f aca="false">'Income Statement'!E41</f>
        <v>-8.57</v>
      </c>
      <c r="D15" s="45" t="n">
        <f aca="false">'Income Statement'!F41</f>
        <v>-3.1</v>
      </c>
      <c r="E15" s="45" t="n">
        <f aca="false">'Income Statement'!G41</f>
        <v>-2.62</v>
      </c>
      <c r="F15" s="45" t="n">
        <f aca="false">'Income Statement'!H41</f>
        <v>0.887852462389287</v>
      </c>
      <c r="G15" s="45" t="n">
        <f aca="false">'Income Statement'!I41</f>
        <v>1.82311929054504</v>
      </c>
      <c r="H15" s="45" t="n">
        <f aca="false">'Income Statement'!J41</f>
        <v>2.8970461200047</v>
      </c>
    </row>
    <row r="17" customFormat="false" ht="18" hidden="false" customHeight="true" outlineLevel="0" collapsed="false">
      <c r="B17" s="13" t="s">
        <v>123</v>
      </c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C18" s="14" t="s">
        <v>124</v>
      </c>
      <c r="D18" s="14" t="s">
        <v>125</v>
      </c>
    </row>
    <row r="19" customFormat="false" ht="15" hidden="false" customHeight="false" outlineLevel="0" collapsed="false">
      <c r="B19" s="28" t="s">
        <v>72</v>
      </c>
      <c r="C19" s="33" t="n">
        <f aca="false">'Segment Detail'!I14</f>
        <v>0.154833165283903</v>
      </c>
      <c r="D19" s="33" t="n">
        <f aca="false">'Segment Detail'!J14</f>
        <v>0.140878039182486</v>
      </c>
    </row>
    <row r="20" customFormat="false" ht="15" hidden="false" customHeight="false" outlineLevel="0" collapsed="false">
      <c r="B20" s="26" t="s">
        <v>126</v>
      </c>
      <c r="C20" s="32" t="n">
        <f aca="false">'Segment Detail'!I7</f>
        <v>0.0883897660002253</v>
      </c>
      <c r="D20" s="32" t="n">
        <f aca="false">'Segment Detail'!J7</f>
        <v>0.0816487163744675</v>
      </c>
    </row>
    <row r="21" customFormat="false" ht="15" hidden="false" customHeight="false" outlineLevel="0" collapsed="false">
      <c r="B21" s="26" t="s">
        <v>127</v>
      </c>
      <c r="C21" s="32" t="n">
        <f aca="false">'Segment Detail'!I8</f>
        <v>0.22209673855576</v>
      </c>
      <c r="D21" s="32" t="n">
        <f aca="false">'Segment Detail'!J8</f>
        <v>0.144934494069044</v>
      </c>
    </row>
    <row r="22" customFormat="false" ht="15" hidden="false" customHeight="false" outlineLevel="0" collapsed="false">
      <c r="B22" s="26" t="s">
        <v>128</v>
      </c>
      <c r="C22" s="32" t="n">
        <f aca="false">'Segment Detail'!I9</f>
        <v>0.277945630360148</v>
      </c>
      <c r="D22" s="32" t="n">
        <f aca="false">'Segment Detail'!J9</f>
        <v>0.196213993617697</v>
      </c>
    </row>
    <row r="23" customFormat="false" ht="15" hidden="false" customHeight="false" outlineLevel="0" collapsed="false">
      <c r="B23" s="26" t="s">
        <v>129</v>
      </c>
      <c r="C23" s="32" t="n">
        <f aca="false">'Segment Detail'!I10</f>
        <v>0.274589178113744</v>
      </c>
      <c r="D23" s="32" t="n">
        <f aca="false">'Segment Detail'!J10</f>
        <v>0.123264286383078</v>
      </c>
    </row>
    <row r="24" customFormat="false" ht="15" hidden="false" customHeight="false" outlineLevel="0" collapsed="false">
      <c r="B24" s="26" t="s">
        <v>130</v>
      </c>
      <c r="C24" s="32" t="n">
        <f aca="false">'Segment Detail'!I11</f>
        <v>0.214477214670377</v>
      </c>
      <c r="D24" s="32" t="n">
        <f aca="false">'Segment Detail'!J11</f>
        <v>0.173153883828215</v>
      </c>
    </row>
    <row r="26" customFormat="false" ht="15" hidden="false" customHeight="false" outlineLevel="0" collapsed="false">
      <c r="B26" s="5" t="s">
        <v>131</v>
      </c>
      <c r="C26" s="34" t="s">
        <v>75</v>
      </c>
      <c r="D26" s="32" t="n">
        <f aca="false">'Income Statement'!L10</f>
        <v>0.142963589195859</v>
      </c>
    </row>
    <row r="27" customFormat="false" ht="15" hidden="false" customHeight="false" outlineLevel="0" collapsed="false">
      <c r="B27" s="37" t="s">
        <v>132</v>
      </c>
      <c r="C27" s="40" t="n">
        <f aca="false">'Income Statement'!K10</f>
        <v>0.244789920881372</v>
      </c>
    </row>
    <row r="67" customFormat="false" ht="15" hidden="false" customHeight="false" outlineLevel="0" collapsed="false">
      <c r="B67" s="16" t="s">
        <v>133</v>
      </c>
      <c r="C67" s="16"/>
      <c r="D67" s="16"/>
      <c r="E67" s="16"/>
      <c r="F67" s="16"/>
      <c r="G67" s="16"/>
      <c r="H67" s="16"/>
    </row>
    <row r="68" customFormat="false" ht="15" hidden="false" customHeight="false" outlineLevel="0" collapsed="false">
      <c r="B68" s="16" t="s">
        <v>134</v>
      </c>
      <c r="C68" s="16"/>
      <c r="D68" s="16"/>
      <c r="E68" s="16"/>
      <c r="F68" s="16"/>
      <c r="G68" s="16"/>
      <c r="H68" s="16"/>
    </row>
  </sheetData>
  <mergeCells count="6">
    <mergeCell ref="B2:H2"/>
    <mergeCell ref="B3:H3"/>
    <mergeCell ref="B5:H5"/>
    <mergeCell ref="B17:H17"/>
    <mergeCell ref="B67:H67"/>
    <mergeCell ref="B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2026-08-17T16:15:21Z</dcterms:created>
  <dc:creator>openpyxl</dc:creator>
  <dc:description/>
  <dc:language>en-US</dc:language>
  <cp:lastModifiedBy/>
  <dcterms:modified xsi:type="dcterms:W3CDTF">2026-08-17T16:15:21Z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