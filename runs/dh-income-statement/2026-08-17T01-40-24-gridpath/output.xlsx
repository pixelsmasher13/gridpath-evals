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0.0%;(0.0%);-"/>
    <numFmt numFmtId="166" formatCode="#,##0.0"/>
  </numFmts>
  <fonts x14ac:knownFonts="1" count="10">
    <font>
      <color theme="1"/>
      <family val="2"/>
      <scheme val="minor"/>
      <sz val="11"/>
      <name val="Calibri"/>
    </font>
    <font>
      <b/>
      <color theme="1"/>
      <family val="2"/>
      <sz val="14"/>
      <name val="Calibri"/>
    </font>
    <font>
      <i/>
      <family val="2"/>
      <scheme val="minor"/>
      <name val="Calibri"/>
      <color rgb="FF555555"/>
      <sz val="10"/>
    </font>
    <font>
      <i/>
      <family val="2"/>
      <scheme val="minor"/>
      <name val="Calibri"/>
      <color rgb="FF555555"/>
      <sz val="9"/>
    </font>
    <font>
      <b/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i/>
      <family val="2"/>
      <scheme val="minor"/>
      <sz val="11"/>
      <name val="Calibri"/>
      <color rgb="FF555555"/>
    </font>
    <font>
      <i/>
      <family val="2"/>
      <scheme val="minor"/>
      <sz val="11"/>
      <name val="Calibri"/>
      <color rgb="FF000000"/>
    </font>
    <font>
      <family val="2"/>
      <scheme val="minor"/>
      <sz val="11"/>
      <name val="Calibri"/>
      <color rgb="FF0000FF"/>
    </font>
    <font>
      <family val="2"/>
      <scheme val="minor"/>
      <sz val="11"/>
      <name val="Calibri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 applyFill="1"/>
    <xf numFmtId="164" fontId="7" fillId="0" borderId="0" xfId="0" applyFont="1" applyFill="1" applyNumberFormat="1"/>
    <xf numFmtId="164" fontId="8" fillId="0" borderId="0" xfId="0" applyFont="1" applyFill="1" applyNumberFormat="1"/>
    <xf numFmtId="165" fontId="8" fillId="0" borderId="0" xfId="0" applyFont="1" applyFill="1" applyNumberFormat="1"/>
    <xf numFmtId="165" fontId="9" fillId="0" borderId="0" xfId="0" applyFont="1" applyFill="1" applyNumberFormat="1"/>
    <xf numFmtId="2" fontId="8" fillId="0" borderId="0" xfId="0" applyFont="1" applyFill="1" applyNumberFormat="1"/>
    <xf numFmtId="166" fontId="8" fillId="0" borderId="0" xfId="0" applyFont="1" applyFill="1" applyNumberFormat="1"/>
    <xf numFmtId="0" fontId="3" fillId="0" borderId="0" xfId="0" applyFont="1" applyFill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topLeftCell="B1" activePane="topRight" state="frozen"/>
    </sheetView>
  </sheetViews>
  <sheetFormatPr defaultRowHeight="15" outlineLevelRow="0" outlineLevelCol="0" x14ac:dyDescent="55"/>
  <cols>
    <col min="1" max="1" width="56.43" customWidth="1"/>
    <col min="2" max="2" width="14.29" customWidth="1"/>
    <col min="3" max="3" width="14.29" customWidth="1"/>
    <col min="4" max="4" width="14.29" customWidth="1"/>
    <col min="5" max="5" width="14.29" customWidth="1"/>
  </cols>
  <sheetData>
    <row r="1">
      <c r="A1" s="1" t="inlineStr">
        <is>
          <t xml:space="preserve">Delivery Hero SE (ETR: DHER) — Income Statement &amp; Growth Analysis</t>
        </is>
      </c>
    </row>
    <row r="2">
      <c r="A2" s="2" t="inlineStr">
        <is>
          <t xml:space="preserve">€ millions unless noted | FY = Jan–Dec | IFRS consolidated figures + management-reported KPIs</t>
        </is>
      </c>
    </row>
    <row r="4">
      <c r="A4" s="3" t="inlineStr">
        <is>
          <t xml:space="preserve">All figures sourced from company trading updates / financial reports and third-party aggregation — see Sources &amp; Notes below.</t>
        </is>
      </c>
    </row>
    <row r="6">
      <c r="A6" s="4" t="inlineStr">
        <is>
          <t xml:space="preserve">Group KPIs</t>
        </is>
      </c>
      <c r="B6" s="4"/>
      <c r="C6" s="4"/>
      <c r="D6" s="4"/>
      <c r="E6" s="4"/>
    </row>
    <row r="7">
      <c r="A7" s="5"/>
      <c r="B7" s="5" t="inlineStr">
        <is>
          <t xml:space="preserve">FY2022A</t>
        </is>
      </c>
      <c r="C7" s="5" t="inlineStr">
        <is>
          <t xml:space="preserve">FY2023A</t>
        </is>
      </c>
      <c r="D7" s="5" t="inlineStr">
        <is>
          <t xml:space="preserve">FY2024A</t>
        </is>
      </c>
      <c r="E7" s="5" t="inlineStr">
        <is>
          <t xml:space="preserve">FY2025A</t>
        </is>
      </c>
    </row>
    <row r="8">
      <c r="A8" s="14" t="inlineStr">
        <is>
          <t xml:space="preserve">GMV (€m)</t>
        </is>
      </c>
      <c r="D8" s="8">
        <v>48754</v>
      </c>
      <c r="E8" s="8">
        <v>49196.8</v>
      </c>
    </row>
    <row r="9">
      <c r="A9" s="14" t="inlineStr">
        <is>
          <t xml:space="preserve">GMV YoY growth %</t>
        </is>
      </c>
      <c r="E9">
        <f>E8/D8-1</f>
        <v>0.009082331706116388</v>
      </c>
    </row>
    <row r="10">
      <c r="A10" s="14" t="inlineStr">
        <is>
          <t xml:space="preserve">Total Segment Revenue (€m)</t>
        </is>
      </c>
      <c r="D10" s="8">
        <v>12796.4</v>
      </c>
      <c r="E10" s="8">
        <v>14803.4</v>
      </c>
    </row>
    <row r="11">
      <c r="A11" s="14" t="inlineStr">
        <is>
          <t xml:space="preserve">Total Segment Revenue YoY growth %</t>
        </is>
      </c>
      <c r="E11">
        <f>E10/D10-1</f>
        <v>0.15684098652746092</v>
      </c>
    </row>
    <row r="12">
      <c r="A12" s="14" t="inlineStr">
        <is>
          <t xml:space="preserve">Adjusted EBITDA (€m)</t>
        </is>
      </c>
      <c r="D12" s="8">
        <v>692.5</v>
      </c>
      <c r="E12" s="8">
        <v>903</v>
      </c>
    </row>
    <row r="13">
      <c r="A13" s="14" t="inlineStr">
        <is>
          <t xml:space="preserve">Adjusted EBITDA YoY growth %</t>
        </is>
      </c>
      <c r="D13" s="9">
        <v>1.73</v>
      </c>
      <c r="E13">
        <f>E12/D12-1</f>
        <v>0.3039711191335741</v>
      </c>
    </row>
    <row r="14">
      <c r="A14" s="14" t="inlineStr">
        <is>
          <t xml:space="preserve">Adjusted EBITDA margin (% of GMV)</t>
        </is>
      </c>
      <c r="D14">
        <f>D12/D8</f>
        <v>0.014203962751774213</v>
      </c>
      <c r="E14">
        <f>E12/E8</f>
        <v>0.0183548523481202</v>
      </c>
    </row>
    <row r="16">
      <c r="A16" s="4" t="inlineStr">
        <is>
          <t xml:space="preserve">IFRS Consolidated Income Statement (€ million)</t>
        </is>
      </c>
      <c r="B16" s="4"/>
      <c r="C16" s="4"/>
      <c r="D16" s="4"/>
      <c r="E16" s="4"/>
    </row>
    <row r="17">
      <c r="A17" s="5"/>
      <c r="B17" s="5" t="inlineStr">
        <is>
          <t xml:space="preserve">FY2022A</t>
        </is>
      </c>
      <c r="C17" s="5" t="inlineStr">
        <is>
          <t xml:space="preserve">FY2023A</t>
        </is>
      </c>
      <c r="D17" s="5" t="inlineStr">
        <is>
          <t xml:space="preserve">FY2024A</t>
        </is>
      </c>
      <c r="E17" s="5" t="inlineStr">
        <is>
          <t xml:space="preserve">FY2025A (partial)</t>
        </is>
      </c>
    </row>
    <row r="18">
      <c r="A18" s="14" t="inlineStr">
        <is>
          <t xml:space="preserve">Revenue</t>
        </is>
      </c>
      <c r="B18" s="8">
        <v>8580</v>
      </c>
      <c r="C18" s="8">
        <v>9940</v>
      </c>
      <c r="D18" s="8">
        <v>12290</v>
      </c>
    </row>
    <row r="19">
      <c r="A19" s="14" t="inlineStr">
        <is>
          <t xml:space="preserve">Revenue YoY growth %</t>
        </is>
      </c>
      <c r="C19" s="10">
        <f>C18/B18-1</f>
        <v>0.15850815850815847</v>
      </c>
      <c r="D19" s="10">
        <f>D18/C18-1</f>
        <v>0.23641851106639833</v>
      </c>
    </row>
    <row r="20">
      <c r="A20" s="14" t="inlineStr">
        <is>
          <t xml:space="preserve">Gross profit</t>
        </is>
      </c>
      <c r="B20" s="8">
        <v>2230</v>
      </c>
      <c r="C20" s="8">
        <v>2970</v>
      </c>
      <c r="D20" s="8">
        <v>3330</v>
      </c>
    </row>
    <row r="21">
      <c r="A21" s="14" t="inlineStr">
        <is>
          <t xml:space="preserve">Gross margin % (of revenue)</t>
        </is>
      </c>
      <c r="B21" s="10">
        <f>B20/B18</f>
        <v>0.25990675990675993</v>
      </c>
      <c r="C21" s="10">
        <f>C20/C18</f>
        <v>0.2987927565392354</v>
      </c>
      <c r="D21" s="10">
        <f>D20/D18</f>
        <v>0.2709519934906428</v>
      </c>
    </row>
    <row r="22">
      <c r="A22" s="14" t="inlineStr">
        <is>
          <t xml:space="preserve">Operating income (EBIT)</t>
        </is>
      </c>
      <c r="B22" s="8">
        <v>-846.4</v>
      </c>
      <c r="C22" s="8">
        <v>-1660</v>
      </c>
      <c r="D22" s="8">
        <v>-456</v>
      </c>
    </row>
    <row r="23">
      <c r="A23" s="14" t="inlineStr">
        <is>
          <t xml:space="preserve">EBIT margin %</t>
        </is>
      </c>
      <c r="B23" s="10">
        <f>B22/B18</f>
        <v>-0.09864801864801864</v>
      </c>
      <c r="C23" s="10">
        <f>C22/C18</f>
        <v>-0.16700201207243462</v>
      </c>
      <c r="D23" s="10">
        <f>D22/D18</f>
        <v>-0.0371033360455655</v>
      </c>
    </row>
    <row r="24">
      <c r="A24" s="14" t="inlineStr">
        <is>
          <t xml:space="preserve">Other income / (expense), net (derived plug)</t>
        </is>
      </c>
      <c r="B24" s="7">
        <f>B25-B22</f>
        <v>-1983.6</v>
      </c>
      <c r="C24" s="7">
        <f>C25-C22</f>
        <v>-500</v>
      </c>
      <c r="D24" s="7">
        <f>D25-D22</f>
        <v>-85.10000000000002</v>
      </c>
    </row>
    <row r="25">
      <c r="A25" s="14" t="inlineStr">
        <is>
          <t xml:space="preserve">Pretax income (EBT)</t>
        </is>
      </c>
      <c r="B25" s="8">
        <v>-2830</v>
      </c>
      <c r="C25" s="8">
        <v>-2160</v>
      </c>
      <c r="D25" s="8">
        <v>-541.1</v>
      </c>
    </row>
    <row r="26">
      <c r="A26" s="14" t="inlineStr">
        <is>
          <t xml:space="preserve">Income tax expense &amp; non-controlling interests (derived plug)</t>
        </is>
      </c>
      <c r="B26" s="7">
        <f>B27-B25</f>
        <v>-150</v>
      </c>
      <c r="C26" s="7">
        <f>C27-C25</f>
        <v>-140</v>
      </c>
      <c r="D26" s="7">
        <f>D27-D25</f>
        <v>-341.29999999999995</v>
      </c>
    </row>
    <row r="27">
      <c r="A27" s="14" t="inlineStr">
        <is>
          <t xml:space="preserve">Net income (loss)</t>
        </is>
      </c>
      <c r="B27" s="8">
        <v>-2980</v>
      </c>
      <c r="C27" s="8">
        <v>-2300</v>
      </c>
      <c r="D27" s="8">
        <v>-882.4</v>
      </c>
      <c r="E27" s="8">
        <v>-783</v>
      </c>
    </row>
    <row r="28">
      <c r="A28" s="14" t="inlineStr">
        <is>
          <t xml:space="preserve">Net margin %</t>
        </is>
      </c>
      <c r="B28" s="10">
        <f>B27/B18</f>
        <v>-0.3473193473193473</v>
      </c>
      <c r="C28" s="10">
        <f>C27/C18</f>
        <v>-0.2313883299798793</v>
      </c>
      <c r="D28" s="10">
        <f>D27/D18</f>
        <v>-0.07179820992676973</v>
      </c>
    </row>
    <row r="29">
      <c r="A29" s="14" t="inlineStr">
        <is>
          <t xml:space="preserve">Diluted EPS (€)</t>
        </is>
      </c>
      <c r="B29" s="11">
        <v>-11.15</v>
      </c>
      <c r="C29" s="11">
        <v>-8.57</v>
      </c>
      <c r="D29" s="11">
        <v>-3.1</v>
      </c>
    </row>
    <row r="30">
      <c r="A30" s="14" t="inlineStr">
        <is>
          <t xml:space="preserve">Diluted weighted avg. shares (million)</t>
        </is>
      </c>
      <c r="B30" s="12">
        <v>266.77</v>
      </c>
      <c r="C30" s="12">
        <v>268.21</v>
      </c>
      <c r="D30" s="12">
        <v>284.25</v>
      </c>
    </row>
    <row r="31">
      <c r="A31" s="14"/>
    </row>
    <row r="32">
      <c r="A32" s="6" t="inlineStr">
        <is>
          <t xml:space="preserve">Check: Pretax + tax plug − Net income (should be 0)</t>
        </is>
      </c>
      <c r="B32" s="7">
        <f>B25+B26-B27</f>
        <v>0</v>
      </c>
      <c r="C32" s="7">
        <f>C25+C26-C27</f>
        <v>0</v>
      </c>
      <c r="D32" s="7">
        <f>D25+D26-D27</f>
        <v>0</v>
      </c>
      <c r="E32" s="6"/>
    </row>
    <row r="34">
      <c r="A34" s="4" t="inlineStr">
        <is>
          <t xml:space="preserve">Regional GMV — FY2024A vs FY2025A (€ million, reported currency)</t>
        </is>
      </c>
      <c r="B34" s="4"/>
      <c r="C34" s="4"/>
      <c r="D34" s="4"/>
      <c r="E34" s="4"/>
    </row>
    <row r="35">
      <c r="A35" s="5" t="inlineStr">
        <is>
          <t xml:space="preserve">Region</t>
        </is>
      </c>
      <c r="B35" s="5" t="inlineStr">
        <is>
          <t xml:space="preserve">FY2024A</t>
        </is>
      </c>
      <c r="C35" s="5" t="inlineStr">
        <is>
          <t xml:space="preserve">FY2025A</t>
        </is>
      </c>
      <c r="D35" s="5" t="inlineStr">
        <is>
          <t xml:space="preserve">YoY growth %</t>
        </is>
      </c>
    </row>
    <row r="36">
      <c r="A36" t="inlineStr">
        <is>
          <t xml:space="preserve">Asia</t>
        </is>
      </c>
      <c r="B36" s="8">
        <v>23407.4</v>
      </c>
      <c r="C36" s="8">
        <v>20779.7</v>
      </c>
      <c r="D36" s="10">
        <f>C36/B36-1</f>
        <v>-0.1122593709681554</v>
      </c>
    </row>
    <row r="37">
      <c r="A37" t="inlineStr">
        <is>
          <t xml:space="preserve">MENA</t>
        </is>
      </c>
      <c r="B37" s="8">
        <v>12825.9</v>
      </c>
      <c r="C37" s="8">
        <v>14644.3</v>
      </c>
      <c r="D37" s="10">
        <f>C37/B37-1</f>
        <v>0.14177562588200443</v>
      </c>
    </row>
    <row r="38">
      <c r="A38" t="inlineStr">
        <is>
          <t xml:space="preserve">Europe</t>
        </is>
      </c>
      <c r="B38" s="8">
        <v>8878.7</v>
      </c>
      <c r="C38" s="8">
        <v>9693.2</v>
      </c>
      <c r="D38" s="10">
        <f>C38/B38-1</f>
        <v>0.09173640285176889</v>
      </c>
    </row>
    <row r="39">
      <c r="A39" t="inlineStr">
        <is>
          <t xml:space="preserve">Americas</t>
        </is>
      </c>
      <c r="B39" s="8">
        <v>3642</v>
      </c>
      <c r="C39" s="8">
        <v>4079.6</v>
      </c>
      <c r="D39" s="10">
        <f>C39/B39-1</f>
        <v>0.12015376166941238</v>
      </c>
    </row>
    <row r="40">
      <c r="A40" t="inlineStr">
        <is>
          <t xml:space="preserve">Integrated Verticals</t>
        </is>
      </c>
      <c r="B40" s="8">
        <v>2904.7</v>
      </c>
      <c r="C40" s="8">
        <v>3432.3</v>
      </c>
      <c r="D40" s="10">
        <f>C40/B40-1</f>
        <v>0.18163665783041297</v>
      </c>
    </row>
    <row r="41">
      <c r="A41" t="inlineStr">
        <is>
          <t xml:space="preserve">Group Total (as reported)</t>
        </is>
      </c>
      <c r="B41" s="8">
        <v>48754</v>
      </c>
      <c r="C41" s="8">
        <v>49196.8</v>
      </c>
      <c r="D41" s="10">
        <f>C41/B41-1</f>
        <v>0.009082331706116388</v>
      </c>
    </row>
    <row r="43">
      <c r="A43" s="4" t="inlineStr">
        <is>
          <t xml:space="preserve">Sources &amp; Notes</t>
        </is>
      </c>
      <c r="B43" s="4"/>
      <c r="C43" s="4"/>
      <c r="D43" s="4"/>
      <c r="E43" s="4"/>
    </row>
    <row r="44" ht="24.01" customHeight="1">
      <c r="A44" s="13" t="inlineStr">
        <is>
          <t xml:space="preserve">FY2022A–FY2024A IFRS figures per Delivery Hero consolidated financial statements as aggregated by TipRanks (revenue, gross profit, EBIT, pretax income, net income, EPS, shares).</t>
        </is>
      </c>
    </row>
    <row r="45" ht="24.01" customHeight="1">
      <c r="A45" s="13" t="inlineStr">
        <is>
          <t xml:space="preserve">FY2025A figures per Delivery Hero SE FY2025 trading update (Feb 27, 2026): GMV, Total Segment Revenue, Adjusted EBITDA; Net income (-€783m GAAP) per third-party reporting (deliveryhero.fyi, citing company disclosures).</t>
        </is>
      </c>
    </row>
    <row r="46" ht="24.01" customHeight="1">
      <c r="A46" s="13" t="inlineStr">
        <is>
          <t xml:space="preserve">GMV, Total Segment Revenue and Adjusted EBITDA are company-defined KPIs disclosed in trading updates; they differ in scope from IFRS 'Revenue', which is materially smaller (e.g. FY2024 Revenue €12.29bn vs Total Segment Revenue €12.80bn).</t>
        </is>
      </c>
    </row>
    <row r="47" ht="24.01" customHeight="1">
      <c r="A47" s="13" t="inlineStr">
        <is>
          <t xml:space="preserve">Other income/(expense), net' and 'Income tax expense &amp; NCI' rows are DERIVED PLUGS (Pretax − EBIT; Net income − Pretax) so the statement ties exactly to reported Pretax Income and Net Income — they are not single reported line items.</t>
        </is>
      </c>
    </row>
    <row r="48" ht="24.01" customHeight="1">
      <c r="A48" s="13" t="inlineStr">
        <is>
          <t xml:space="preserve">FY2025A Revenue, Gross Profit and EBIT were not itemized in sources reviewed this session; verify against the Delivery Hero SE Annual Report 2025 (published ~March 2026) for the complete FY2025 IFRS income statement.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2026-08-17T01:40:24Z</dcterms:created>
  <dcterms:modified xsi:type="dcterms:W3CDTF">2026-08-17T01:40:24Z</dcterms:modified>
</cp:coreProperties>
</file>