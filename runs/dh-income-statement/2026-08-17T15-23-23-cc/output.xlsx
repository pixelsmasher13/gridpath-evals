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ver" sheetId="1" state="visible" r:id="rId3"/>
    <sheet name="Income Statement" sheetId="2" state="visible" r:id="rId4"/>
    <sheet name="Assumptions" sheetId="3" state="visible" r:id="rId5"/>
    <sheet name="Growth &amp; Segments" sheetId="4" state="visible" r:id="rId6"/>
    <sheet name="Sources &amp; No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<sst xmlns="http://schemas.openxmlformats.org/spreadsheetml/2006/main" count="269" uniqueCount="208">
  <si>
    <t xml:space="preserve">Delivery Hero SE — Income Statement Model</t>
  </si>
  <si>
    <t xml:space="preserve">Consolidated Income Statement, FY2021A–FY2025A (audited) with a FY2026E guidance-based plan; segment growth detail included.</t>
  </si>
  <si>
    <t xml:space="preserve">All figures in EUR million unless noted. Fiscal year = calendar year. Model prepared 2026-08-17.</t>
  </si>
  <si>
    <t xml:space="preserve">Contents</t>
  </si>
  <si>
    <t xml:space="preserve">▸  Income Statement — Full consolidated P&amp;L, FY2021A–FY2025A actuals + FY2026E plan, with margin and YoY growth detail.</t>
  </si>
  <si>
    <t xml:space="preserve">▸  Assumptions — Editable FY2026E plan drivers (revenue growth, cost ratios) benchmarked to FY2025A and company guidance.</t>
  </si>
  <si>
    <t xml:space="preserve">▸  Growth &amp; Segments — GMV, Total Segment Revenue and Adjusted EBITDA by region (Asia, MENA, Europe, Americas, Integrated Verticals): growth rates, CAGR, revenue mix, FY2026E guidance.</t>
  </si>
  <si>
    <t xml:space="preserve">▸  Sources &amp; Notes — Citations for every figure, and portfolio/comparability notes (Glovo, Talabat, Foodpanda Asia, pending Uber acquisition).</t>
  </si>
  <si>
    <t xml:space="preserve">Key context affecting comparability</t>
  </si>
  <si>
    <t xml:space="preserve">•  Glovo (Spain-based platform, active in ~20 countries): Delivery Hero became majority shareholder (~94%) on July 4, 2022, and has fully consolidated it since; FY2022 therefore includes only ~6 months of Glovo vs. 12 months from FY2023 onward.</t>
  </si>
  <si>
    <t xml:space="preserve">•  Woowa Brothers / Baemin (South Korea): 88.5% stake closed March 4, 2021, consolidated into the Asia segment from that date. As a condition of Korean antitrust approval, the pre-existing Delivery Hero Korea / Yogiyo business (€536.0m disposal) was divested on October 29, 2021 and excluded from Asia segment KPIs from January 2021.</t>
  </si>
  <si>
    <t xml:space="preserve">•  Talabat (MENA): ~20% free float IPO'd on the Dubai Financial Market on December 10, 2024 (~$2.0bn gross proceeds). Delivery Hero retained ~80% and continues to fully consolidate Talabat within the MENA segment (the public float is recognized as a non-controlling interest).</t>
  </si>
  <si>
    <t xml:space="preserve">•  Foodpanda Asia portfolio optimization: Vietnam (Baemin brand) wound down Dec 2023; Thailand exited May 23, 2025; Taiwan sale to Grab announced March 23, 2026 (pending close). These reduce Asia segment GMV even as segment revenue keeps growing — see Growth &amp; Segments tab.</t>
  </si>
  <si>
    <t xml:space="preserve">•  MENA, Americas and Integrated Verticals GMV/revenue/Adj. EBITDA and their growth rates are impacted by IAS 29 hyperinflation accounting for Argentina and Türkiye throughout the FY2022–FY2025 period.</t>
  </si>
  <si>
    <t xml:space="preserve">•  PENDING, NOT reflected in these historicals: Uber Technologies agreed (announced ~July 2026) to acquire Delivery Hero SE for an enterprise value of ~$14.8bn / €12.9bn; 14 overlap markets (incl. foodora Scandinavia/Austria, Glovo Spain/Poland/Portugal, efood Greece, Yemeksepeti Turkey) are to be carved out separately to SSW Partners. Deal is unclosed and subject to regulatory approval as of this model's preparation date.</t>
  </si>
  <si>
    <t xml:space="preserve">Color key: blue = hardcoded input / reported actual or company guidance   |   black = formula   |   yellow fill = FY2026E plan / assumption</t>
  </si>
  <si>
    <t xml:space="preserve">Delivery Hero SE — Consolidated Income Statement (EUR million)</t>
  </si>
  <si>
    <t xml:space="preserve">IFRS consolidated P&amp;L. Blue = reported actual; black = formula; yellow column = FY2026E plan (see Assumptions tab).</t>
  </si>
  <si>
    <t xml:space="preserve">EUR million</t>
  </si>
  <si>
    <t xml:space="preserve">Note</t>
  </si>
  <si>
    <t xml:space="preserve">FY2021A</t>
  </si>
  <si>
    <t xml:space="preserve">FY2022A</t>
  </si>
  <si>
    <t xml:space="preserve">FY2023A</t>
  </si>
  <si>
    <t xml:space="preserve">FY2024A</t>
  </si>
  <si>
    <t xml:space="preserve">FY2025A</t>
  </si>
  <si>
    <t xml:space="preserve">FY2026E</t>
  </si>
  <si>
    <t xml:space="preserve">Revenue</t>
  </si>
  <si>
    <t xml:space="preserve">AR21 p.108; AR23 p.90; AR25 p.166</t>
  </si>
  <si>
    <t xml:space="preserve">Cost of sales</t>
  </si>
  <si>
    <t xml:space="preserve">Note G.2, AR25 p.166</t>
  </si>
  <si>
    <t xml:space="preserve">Gross profit</t>
  </si>
  <si>
    <t xml:space="preserve">  Gross margin %</t>
  </si>
  <si>
    <t xml:space="preserve">Marketing expenses</t>
  </si>
  <si>
    <t xml:space="preserve">Note G.3</t>
  </si>
  <si>
    <t xml:space="preserve">IT expenses</t>
  </si>
  <si>
    <t xml:space="preserve">Note G.4</t>
  </si>
  <si>
    <t xml:space="preserve">General &amp; administrative expenses</t>
  </si>
  <si>
    <t xml:space="preserve">Note G.5</t>
  </si>
  <si>
    <t xml:space="preserve">Other operating income</t>
  </si>
  <si>
    <t xml:space="preserve">Note G.6</t>
  </si>
  <si>
    <t xml:space="preserve">Other operating expenses &amp; goodwill impairment</t>
  </si>
  <si>
    <t xml:space="preserve">Note G.7</t>
  </si>
  <si>
    <t xml:space="preserve">Impairment losses, trade receivables &amp; other assets</t>
  </si>
  <si>
    <t xml:space="preserve">AR25 p.166</t>
  </si>
  <si>
    <t xml:space="preserve">Operating result (EBIT)</t>
  </si>
  <si>
    <t xml:space="preserve">  EBIT margin %</t>
  </si>
  <si>
    <t xml:space="preserve">Net interest result</t>
  </si>
  <si>
    <t xml:space="preserve">Note G.8</t>
  </si>
  <si>
    <t xml:space="preserve">Other financial result</t>
  </si>
  <si>
    <t xml:space="preserve">Note G.9</t>
  </si>
  <si>
    <t xml:space="preserve">Share of profit/(loss), associates &amp; JVs (equity method)</t>
  </si>
  <si>
    <t xml:space="preserve">Note D.3.b</t>
  </si>
  <si>
    <t xml:space="preserve">Earnings before income taxes (EBT)</t>
  </si>
  <si>
    <t xml:space="preserve">Income taxes</t>
  </si>
  <si>
    <t xml:space="preserve">Note G.10</t>
  </si>
  <si>
    <t xml:space="preserve">Net result (consolidated)</t>
  </si>
  <si>
    <t xml:space="preserve">  Net margin %</t>
  </si>
  <si>
    <t xml:space="preserve">  Non-controlling interests</t>
  </si>
  <si>
    <t xml:space="preserve">FY21 n.d.*</t>
  </si>
  <si>
    <t xml:space="preserve">  Attributable to shareholders of the parent</t>
  </si>
  <si>
    <t xml:space="preserve">Diluted / basic EPS (EUR)</t>
  </si>
  <si>
    <t xml:space="preserve">Reported</t>
  </si>
  <si>
    <t xml:space="preserve">  Implied weighted-avg. diluted shares (million)</t>
  </si>
  <si>
    <t xml:space="preserve">Memo: non-GAAP &amp; KPIs</t>
  </si>
  <si>
    <t xml:space="preserve">Adjusted EBITDA (non-GAAP, Group)</t>
  </si>
  <si>
    <t xml:space="preserve">Key Figures p.4/120</t>
  </si>
  <si>
    <t xml:space="preserve">Group GMV</t>
  </si>
  <si>
    <t xml:space="preserve">  Adjusted EBITDA margin, % of GMV</t>
  </si>
  <si>
    <t xml:space="preserve">Total Segment Revenue</t>
  </si>
  <si>
    <t xml:space="preserve">Memo: YoY growth (blank = no prior-year base in this model)</t>
  </si>
  <si>
    <t xml:space="preserve">   Revenue growth %</t>
  </si>
  <si>
    <t xml:space="preserve">   Gross profit growth %</t>
  </si>
  <si>
    <t xml:space="preserve">   Total Segment Revenue growth %</t>
  </si>
  <si>
    <t xml:space="preserve">   GMV growth %</t>
  </si>
  <si>
    <t xml:space="preserve">   Adjusted EBITDA growth % (vs. |prior|, turnaround metric)</t>
  </si>
  <si>
    <t xml:space="preserve">   EBIT, absolute Δ (EUR m)</t>
  </si>
  <si>
    <t xml:space="preserve">   Net result, absolute Δ (EUR m)</t>
  </si>
  <si>
    <t xml:space="preserve">Memo: FY2025A reported vs. like-for-like / constant-currency growth (company-reported, FX distortion flagged)</t>
  </si>
  <si>
    <t xml:space="preserve">   Total Segment Revenue growth — reported (nominal)</t>
  </si>
  <si>
    <t xml:space="preserve">   Total Segment Revenue growth — like-for-like, constant currency (company-reported)</t>
  </si>
  <si>
    <t xml:space="preserve">   GMV growth — reported (nominal)</t>
  </si>
  <si>
    <t xml:space="preserve">   GMV growth — like-for-like (company-reported)</t>
  </si>
  <si>
    <t xml:space="preserve">FY2025 nominal growth trailed like-for-like growth mainly due to EUR strength vs. USD-pegged and other Group currencies during 2025.</t>
  </si>
  <si>
    <t xml:space="preserve">* FY2021 non-controlling interests not separately itemized in the disclosed extract; treated as immaterial (net result ≈ shareholders' share) for FY2021 EPS consistency. FY2026E column: see Assumptions tab for all plan drivers.</t>
  </si>
  <si>
    <t xml:space="preserve">FY2026E Plan — Assumptions</t>
  </si>
  <si>
    <t xml:space="preserve">Editable drivers (blue, yellow fill) that feed the FY2026E column on the Income Statement tab. Defaults = FY2025A actual ratios except where company guidance is used.</t>
  </si>
  <si>
    <t xml:space="preserve">Driver</t>
  </si>
  <si>
    <t xml:space="preserve">FY2026E assumption</t>
  </si>
  <si>
    <t xml:space="preserve">FY2025A reference</t>
  </si>
  <si>
    <t xml:space="preserve">Basis</t>
  </si>
  <si>
    <t xml:space="preserve">Revenue growth, FY2026E (applied to IFRS Revenue)</t>
  </si>
  <si>
    <t xml:space="preserve">Company guidance: Total Segment Revenue +14% to +16% (LFL/CC) for FY2026; midpoint used as proxy for IFRS revenue growth.</t>
  </si>
  <si>
    <t xml:space="preserve">GMV growth, FY2026E</t>
  </si>
  <si>
    <t xml:space="preserve">Company guidance: GMV +8% to +10% for FY2026; midpoint used.</t>
  </si>
  <si>
    <t xml:space="preserve">Cost ratios (% of Revenue) — defaulted to FY2025A actual</t>
  </si>
  <si>
    <t xml:space="preserve">Cost of sales, % of revenue</t>
  </si>
  <si>
    <t xml:space="preserve">FY2025A: 10,626.5 / 14,059.6 = 75.6%.</t>
  </si>
  <si>
    <t xml:space="preserve">Marketing expenses, % of revenue</t>
  </si>
  <si>
    <t xml:space="preserve">FY2025A: 1,419.6 / 14,059.6 = 10.1%.</t>
  </si>
  <si>
    <t xml:space="preserve">IT expenses, % of revenue</t>
  </si>
  <si>
    <t xml:space="preserve">FY2025A: 485.0 / 14,059.6 = 3.4%.</t>
  </si>
  <si>
    <t xml:space="preserve">General &amp; administrative expenses, % of revenue</t>
  </si>
  <si>
    <t xml:space="preserve">FY2025A: 1,411.3 / 14,059.6 = 10.0%.</t>
  </si>
  <si>
    <t xml:space="preserve">Other operating income, % of revenue</t>
  </si>
  <si>
    <t xml:space="preserve">FY2025A: 38.8 / 14,059.6 = 0.3%. Volatile, non-recurring-heavy line.</t>
  </si>
  <si>
    <t xml:space="preserve">Other operating expenses &amp; goodwill impairment, % of revenue</t>
  </si>
  <si>
    <t xml:space="preserve">FY2025A: 274.1 / 14,059.6 = 2.0%. Includes legal/antitrust provisions historically — volatile.</t>
  </si>
  <si>
    <t xml:space="preserve">Impairment losses, trade receivables &amp; other assets, % of revenue</t>
  </si>
  <si>
    <t xml:space="preserve">FY2025A: 35.9 / 14,059.6 = 0.3%.</t>
  </si>
  <si>
    <t xml:space="preserve">Net interest result, % of revenue</t>
  </si>
  <si>
    <t xml:space="preserve">FY2025A: 283.1 / 14,059.6 = 2.0%. Risk: Feb 2026 $1.4bn term loan (bond refinancing) could raise FY2026 interest expense above this ratio.</t>
  </si>
  <si>
    <t xml:space="preserve">Other P&amp;L lines (EUR million, held flat at FY2025A)</t>
  </si>
  <si>
    <t xml:space="preserve">Other financial result, EUR m</t>
  </si>
  <si>
    <t xml:space="preserve">FX-driven, volatile (FY23: -266.1; FY24: +44.8; FY25: -28.8). Held at 3-yr average rather than FY2025A alone.</t>
  </si>
  <si>
    <t xml:space="preserve">Share of profit/(loss), associates &amp; JVs, EUR m</t>
  </si>
  <si>
    <t xml:space="preserve">Held flat at FY2025A; line is now immaterial post-Glovo full consolidation.</t>
  </si>
  <si>
    <t xml:space="preserve">Income taxes, EUR m</t>
  </si>
  <si>
    <t xml:space="preserve">Held flat at FY2025A EUR level (effective-rate approach unreliable near EBT breakeven with NOL carryforwards).</t>
  </si>
  <si>
    <t xml:space="preserve">Non-controlling interests, EUR m</t>
  </si>
  <si>
    <t xml:space="preserve">Held flat at FY2025A; reflects Talabat's ~20% public free float continuing to earn a profit share in MENA.</t>
  </si>
  <si>
    <t xml:space="preserve">Implied weighted-avg. diluted shares, million</t>
  </si>
  <si>
    <t xml:space="preserve">Held flat at FY2025A implied share count (formula, see B-column).</t>
  </si>
  <si>
    <t xml:space="preserve">Company guidance, FY2026E (reference only — not a bottom-up derivation)</t>
  </si>
  <si>
    <t xml:space="preserve">Adjusted EBITDA guidance, low (EUR m)</t>
  </si>
  <si>
    <t xml:space="preserve">Confirmed at FY2025 results (Feb/Mar 2026); confidence raised to upper half of range at Q1 2026 trading update.</t>
  </si>
  <si>
    <t xml:space="preserve">Adjusted EBITDA guidance, high (EUR m)</t>
  </si>
  <si>
    <t xml:space="preserve">Adjusted EBITDA guidance, midpoint (EUR m)</t>
  </si>
  <si>
    <t xml:space="preserve">Used as the Adjusted EBITDA memo figure for FY2026E on the Income Statement tab. Not derived from the modeled IFRS EBIT bridge (D&amp;A, SBC and legal/restructuring add-backs are not modeled at this line-item level).</t>
  </si>
  <si>
    <t xml:space="preserve">Free Cash Flow guidance (EUR m, floor)</t>
  </si>
  <si>
    <t xml:space="preserve">Guided '&gt;€200m'; excludes extraordinary cash outflows for antitrust/rider-related legal matters.</t>
  </si>
  <si>
    <t xml:space="preserve">Delivery Hero SE — Growth &amp; Segment Detail (EUR million except %)</t>
  </si>
  <si>
    <t xml:space="preserve">GMV, Total Segment Revenue and Adjusted EBITDA by region. Group KPIs link to the Income Statement tab; segment figures are reported inputs (blue).</t>
  </si>
  <si>
    <t xml:space="preserve">CAGR '21–'25</t>
  </si>
  <si>
    <t xml:space="preserve">Group KPIs</t>
  </si>
  <si>
    <t xml:space="preserve">   YoY growth %</t>
  </si>
  <si>
    <t xml:space="preserve">Revenue (IFRS)</t>
  </si>
  <si>
    <t xml:space="preserve">Adjusted EBITDA (non-GAAP)</t>
  </si>
  <si>
    <t xml:space="preserve">n/m (sign change)</t>
  </si>
  <si>
    <t xml:space="preserve">   YoY growth % (vs. |prior|)</t>
  </si>
  <si>
    <t xml:space="preserve">Segment: Asia</t>
  </si>
  <si>
    <t xml:space="preserve">Segment Revenue</t>
  </si>
  <si>
    <t xml:space="preserve">Key Figures p.4-5/120-121</t>
  </si>
  <si>
    <t xml:space="preserve">Revenue mix, % of Total Segment Revenue</t>
  </si>
  <si>
    <t xml:space="preserve">Segment GMV</t>
  </si>
  <si>
    <t xml:space="preserve">Segment Adjusted EBITDA</t>
  </si>
  <si>
    <t xml:space="preserve">n.d.</t>
  </si>
  <si>
    <t xml:space="preserve">Adj. EBITDA margin, % of segment GMV</t>
  </si>
  <si>
    <t xml:space="preserve">Segment: MENA</t>
  </si>
  <si>
    <t xml:space="preserve">Segment: Europe</t>
  </si>
  <si>
    <t xml:space="preserve">Segment: Americas</t>
  </si>
  <si>
    <t xml:space="preserve">Segment: Integrated Verticals</t>
  </si>
  <si>
    <t xml:space="preserve">Note: segment revenue/GMV figures sum to slightly more/less than the Group totals above due to intersegment consolidation adjustments (Platform segment charging Integrated Verticals) and reconciliation effects (see Sources &amp; Notes tab).</t>
  </si>
  <si>
    <t xml:space="preserve">FY2026E Company Guidance (Group-level; not disclosed by segment)</t>
  </si>
  <si>
    <t xml:space="preserve">   Total Segment Revenue growth, FY2026E guidance (LFL/CC)</t>
  </si>
  <si>
    <t xml:space="preserve">14% – 16%</t>
  </si>
  <si>
    <t xml:space="preserve">   GMV growth, FY2026E guidance</t>
  </si>
  <si>
    <t xml:space="preserve">8% – 10%</t>
  </si>
  <si>
    <t xml:space="preserve">   Adjusted EBITDA, FY2026E guidance (EUR m)</t>
  </si>
  <si>
    <t xml:space="preserve">910 – 960 (confidence raised to upper half at Q1 2026 update)</t>
  </si>
  <si>
    <t xml:space="preserve">   Free Cash Flow, FY2026E guidance (EUR m)</t>
  </si>
  <si>
    <t xml:space="preserve">&gt; 200 (excl. extraordinary antitrust/rider-related legal cash outflows)</t>
  </si>
  <si>
    <t xml:space="preserve">Sources &amp; Notes</t>
  </si>
  <si>
    <t xml:space="preserve">Primary sources (all figures on Income Statement &amp; Growth &amp; Segments tabs)</t>
  </si>
  <si>
    <t xml:space="preserve">FY2021 actuals</t>
  </si>
  <si>
    <t xml:space="preserve">Delivery Hero SE, Annual Report 2021 (audited): Consolidated Statement of Profit or Loss (p.108–109), segment KPI table (p.76), Adjusted EBITDA reconciliation (p.131).</t>
  </si>
  <si>
    <t xml:space="preserve">FY2022 actuals</t>
  </si>
  <si>
    <t xml:space="preserve">Delivery Hero SE, Annual Report 2023 (audited): FY2022 restated comparative column, Consolidated Statement of Profit or Loss (p.90–91), Key Figures / segment table (p.4).</t>
  </si>
  <si>
    <t xml:space="preserve">FY2023 actuals</t>
  </si>
  <si>
    <t xml:space="preserve">Delivery Hero SE, Annual Report 2023 (audited): Consolidated Statement of Profit or Loss and Key Figures / segment table (p.4).</t>
  </si>
  <si>
    <t xml:space="preserve">FY2024 actuals</t>
  </si>
  <si>
    <t xml:space="preserve">Delivery Hero SE, Annual Report 2024 (audited): Consolidated Statement of Profit or Loss (p.145), Key Figures / segment table (p.4–5).</t>
  </si>
  <si>
    <t xml:space="preserve">FY2025 actuals</t>
  </si>
  <si>
    <t xml:space="preserve">Delivery Hero SE, Annual Report 2025 (audited): Consolidated Statement of Profit or Loss and Other Comprehensive Income (p.166), Key Figures / segment table (p.120–121).</t>
  </si>
  <si>
    <t xml:space="preserve">FY2025 like-for-like growth memo</t>
  </si>
  <si>
    <t xml:space="preserve">Delivery Hero, "Delivery Hero reports strong Q4, while business transforms into Everyday App" (FY2025 results release, Feb/Mar 2026).</t>
  </si>
  <si>
    <t xml:space="preserve">FY2026E guidance</t>
  </si>
  <si>
    <t xml:space="preserve">Delivery Hero FY2025 results release (Feb 27 / Mar 26, 2026) and Q1 2026 trading update (~May 2026): Total Segment Revenue +14–16%, GMV +8–10%, Adjusted EBITDA €910–960m (confidence raised to upper half at Q1 2026 update), Free Cash Flow &gt;€200m.</t>
  </si>
  <si>
    <t xml:space="preserve">Modeling methodology</t>
  </si>
  <si>
    <t xml:space="preserve">Historical actuals (FY2021A–FY2025A)</t>
  </si>
  <si>
    <t xml:space="preserve">Line items reported by the company (Revenue, Cost of sales, Marketing, IT, G&amp;A, Other operating income/expense, Impairment losses, Net interest, Other financial result, Share of JV result, Income taxes, NCI, EPS) are hardcoded inputs (blue). All subtotals (Gross profit, EBIT, EBT, Net result, Attributable to shareholders, margins, growth rates, CAGR) are LIVE FORMULAS that sum/derive from those inputs — they are not separately hardcoded, so they will recompute if any input is edited.</t>
  </si>
  <si>
    <t xml:space="preserve">FY2026E plan</t>
  </si>
  <si>
    <t xml:space="preserve">Built bottom-up from the Assumptions tab: Revenue and GMV grow off FY2025A at the guidance midpoint; cost lines are modeled as a constant % of Revenue (defaulted to the FY2025A actual ratio, editable); financing/tax/NCI lines are held flat at FY2025A EUR levels (editable). Adjusted EBITDA for FY2026E is shown at the company's own guidance midpoint (€935m) rather than derived bottom-up, because the IFRS-to-Adjusted-EBITDA bridge (D&amp;A, share-based compensation, legal/restructuring add-backs) is not modeled at this line-item level — see Assumptions tab note.</t>
  </si>
  <si>
    <t xml:space="preserve">Growth formulas</t>
  </si>
  <si>
    <t xml:space="preserve">Standard YoY growth = (Current − Prior) / ABS(Prior); this avoids sign-inversion artifacts when the prior-year base is negative (e.g. EBIT, Net result during loss-making years). CAGR = (FY2025A / FY2021A)^(1/4) − 1, shown as "n/m" where the metric changes sign across the period.</t>
  </si>
  <si>
    <t xml:space="preserve">Rounding</t>
  </si>
  <si>
    <t xml:space="preserve">All reported figures are as published (EUR million, 1 decimal). Minor rounding differences of ±0.1–0.3 vs. a manual re-sum of components are inherent in the company's own disclosures.</t>
  </si>
  <si>
    <t xml:space="preserve">Comparability &amp; portfolio notes</t>
  </si>
  <si>
    <t xml:space="preserve">Woowa Brothers / Baemin (South Korea)</t>
  </si>
  <si>
    <t xml:space="preserve">88.5% stake closed March 4, 2021; consolidated into Asia segment from that date. As a Korean antitrust remedy, the pre-existing Delivery Hero Korea / Yogiyo business was classified held-for-sale from Jan 1, 2021 (excluded from Asia segment KPIs even before legal completion) and sold Oct 29, 2021 for €536.0m cash.</t>
  </si>
  <si>
    <t xml:space="preserve">Glovo (Spain, ~20 countries incl. Africa/Central Asia)</t>
  </si>
  <si>
    <t xml:space="preserve">Held as an equity-method associate (≤44.3% non-diluted) through H1 2022. Delivery Hero obtained control on July 4, 2022 (50.2% additionally acquired, 94.5% total) and has fully consolidated Glovo since — Europe segment (platform) and Integrated Verticals (quick commerce). FY2022 therefore includes only 6 months of Glovo vs. 12 months from FY2023 onward, inflating FY2023 Europe segment growth (+55.3%) mechanically. Delivery Hero's stake reached 99.4% by end-FY2024 via incremental minority buy-ins.</t>
  </si>
  <si>
    <t xml:space="preserve">Talabat (MENA)</t>
  </si>
  <si>
    <t xml:space="preserve">~20% free float IPO'd on the Dubai Financial Market Dec 10, 2024 (~$2.0bn gross proceeds, upsized from an originally planned 15%). Delivery Hero retained ~80% and, per its own disclosure, this ownership change "did not alter DH's control over talabat; therefore, talabat continues to be fully consolidated." The public float is recognized as a non-controlling interest (see NCI turning positive in FY2025, reflecting Talabat's profitability).</t>
  </si>
  <si>
    <t xml:space="preserve">Foodpanda Asia portfolio optimization</t>
  </si>
  <si>
    <t xml:space="preserve">Denmark, Ghana, Slovakia and Slovenia exited prior to FY2024; Vietnam (Baemin brand) wound down Dec 8, 2023; Thailand exited May 23, 2025; Taiwan sale to Grab announced March 23, 2026 (pending, not yet closed). The company explicitly excludes these from its own "like-for-like" growth figures — including them would have reduced FY2025 GMV growth guidance by ~2 percentage points.</t>
  </si>
  <si>
    <t xml:space="preserve">Hyperinflation accounting (IAS 29)</t>
  </si>
  <si>
    <t xml:space="preserve">MENA, Americas and Integrated Verticals figures and growth rates are impacted by hyperinflation adjustments for Argentina and Türkiye (and, in earlier years, Lebanon and Ghana) throughout FY2022–FY2025.</t>
  </si>
  <si>
    <t xml:space="preserve">Total Segment Revenue vs. IFRS Revenue</t>
  </si>
  <si>
    <t xml:space="preserve">"Total Segment Revenue" is the company's own non-IFRS KPI (revenue before the reduction of vouchers, adjusted for reconciliation effects e.g. Glovo logistics/buy-sell netting); it is larger than IFRS "Revenue" on the face of the P&amp;L. The two are not directly comparable line-by-line — see the reconciliation footnote in each Annual Report.</t>
  </si>
  <si>
    <t xml:space="preserve">PENDING — not reflected in these historicals</t>
  </si>
  <si>
    <t xml:space="preserve">Uber Technologies agreed (announced ~July 2026) to acquire Delivery Hero SE at an enterprise value of ~$14.8bn / €12.9bn; certain overlap markets (incl. foodora Scandinavia/Austria, Glovo Spain/Poland/Portugal, efood Greece, Yemeksepeti Turkey) are to be carved out to SSW Partners. Transaction is unclosed and subject to regulatory approval as of this model's preparation date (2026-08-17); secondary press reports on the expected closing date are inconsistent and are therefore not cited as fact in this model.</t>
  </si>
  <si>
    <t xml:space="preserve">Known limitations</t>
  </si>
  <si>
    <t xml:space="preserve">FY2021 NCI / attributable split</t>
  </si>
  <si>
    <t xml:space="preserve">Not separately itemized in the source extract used; the model treats FY2021 non-controlling interests as immaterial (Net result ≈ Attributable to shareholders), consistent with the reported EPS tying out to the full Net result.</t>
  </si>
  <si>
    <t xml:space="preserve">FY2021 segment Adjusted EBITDA</t>
  </si>
  <si>
    <t xml:space="preserve">Not available at the individual segment level in the sources reviewed; only the Group figure (−€795.6m) is populated for FY2021. Segment-level Adjusted EBITDA starts in FY2022.</t>
  </si>
  <si>
    <t xml:space="preserve">FY2026E Adjusted EBITDA</t>
  </si>
  <si>
    <t xml:space="preserve">Shown as the company's guidance midpoint, not derived bottom-up from the modeled IFRS EBIT — see "Modeling methodology" above.</t>
  </si>
</sst>
</file>

<file path=xl/styles.xml><?xml version="1.0" encoding="utf-8"?>
<styleSheet xmlns="http://schemas.openxmlformats.org/spreadsheetml/2006/main">
  <numFmts count="5">
    <numFmt numFmtId="164" formatCode="General"/>
    <numFmt numFmtId="165" formatCode="#,##0.0;\(#,##0.0\)"/>
    <numFmt numFmtId="166" formatCode="0.0%;\(0.0%\)"/>
    <numFmt numFmtId="167" formatCode="#,##0.00;\(#,##0.00\)"/>
    <numFmt numFmtId="168" formatCode="#,##0;\(#,##0\)"/>
  </numFmts>
  <fonts count="14">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i val="true"/>
      <sz val="11"/>
      <color rgb="FF404040"/>
      <name val="Calibri"/>
      <family val="0"/>
      <charset val="1"/>
    </font>
    <font>
      <b val="true"/>
      <sz val="12"/>
      <color rgb="FFFFFFFF"/>
      <name val="Calibri"/>
      <family val="0"/>
      <charset val="1"/>
    </font>
    <font>
      <sz val="10"/>
      <color rgb="FF000000"/>
      <name val="Calibri"/>
      <family val="0"/>
      <charset val="1"/>
    </font>
    <font>
      <i val="true"/>
      <sz val="8"/>
      <color rgb="FF808080"/>
      <name val="Calibri"/>
      <family val="0"/>
      <charset val="1"/>
    </font>
    <font>
      <b val="true"/>
      <sz val="10"/>
      <color rgb="FFFFFFFF"/>
      <name val="Calibri"/>
      <family val="0"/>
      <charset val="1"/>
    </font>
    <font>
      <b val="true"/>
      <sz val="10"/>
      <color rgb="FF000000"/>
      <name val="Calibri"/>
      <family val="0"/>
      <charset val="1"/>
    </font>
    <font>
      <sz val="8"/>
      <color rgb="FF808080"/>
      <name val="Calibri"/>
      <family val="0"/>
      <charset val="1"/>
    </font>
    <font>
      <sz val="10"/>
      <color rgb="FF0070C0"/>
      <name val="Calibri"/>
      <family val="0"/>
      <charset val="1"/>
    </font>
    <font>
      <b val="true"/>
      <sz val="10"/>
      <color rgb="FF0070C0"/>
      <name val="Calibri"/>
      <family val="0"/>
      <charset val="1"/>
    </font>
  </fonts>
  <fills count="6">
    <fill>
      <patternFill patternType="none"/>
    </fill>
    <fill>
      <patternFill patternType="gray125"/>
    </fill>
    <fill>
      <patternFill patternType="solid">
        <fgColor rgb="FF1F3864"/>
        <bgColor rgb="FF404040"/>
      </patternFill>
    </fill>
    <fill>
      <patternFill patternType="solid">
        <fgColor rgb="FF2E5395"/>
        <bgColor rgb="FF1F3864"/>
      </patternFill>
    </fill>
    <fill>
      <patternFill patternType="solid">
        <fgColor rgb="FFFFF2CC"/>
        <bgColor rgb="FFFFFFFF"/>
      </patternFill>
    </fill>
    <fill>
      <patternFill patternType="solid">
        <fgColor rgb="FFD9E2F3"/>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left" vertical="center" textRotation="0" wrapText="false" indent="0" shrinkToFit="false"/>
      <protection locked="true" hidden="false"/>
    </xf>
    <xf numFmtId="164" fontId="9" fillId="3" borderId="0" xfId="0" applyFont="true" applyBorder="false" applyAlignment="true" applyProtection="false">
      <alignment horizontal="left" vertical="center" textRotation="0" wrapText="fals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64" fontId="10" fillId="4"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5" fontId="12" fillId="0" borderId="0" xfId="0" applyFont="true" applyBorder="false" applyAlignment="true" applyProtection="false">
      <alignment horizontal="right" vertical="center" textRotation="0" wrapText="false" indent="0" shrinkToFit="false"/>
      <protection locked="true" hidden="false"/>
    </xf>
    <xf numFmtId="165" fontId="7" fillId="4" borderId="0" xfId="0" applyFont="true" applyBorder="false" applyAlignment="true" applyProtection="false">
      <alignment horizontal="righ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5" fontId="10" fillId="5" borderId="0" xfId="0" applyFont="true" applyBorder="false" applyAlignment="true" applyProtection="false">
      <alignment horizontal="right" vertical="center" textRotation="0" wrapText="false" indent="0" shrinkToFit="false"/>
      <protection locked="true" hidden="false"/>
    </xf>
    <xf numFmtId="165" fontId="10" fillId="4" borderId="0" xfId="0" applyFont="true" applyBorder="false" applyAlignment="true" applyProtection="false">
      <alignment horizontal="right" vertical="center" textRotation="0" wrapText="false" indent="0" shrinkToFit="false"/>
      <protection locked="true" hidden="false"/>
    </xf>
    <xf numFmtId="166" fontId="7" fillId="0" borderId="0" xfId="0" applyFont="true" applyBorder="false" applyAlignment="true" applyProtection="false">
      <alignment horizontal="right" vertical="center" textRotation="0" wrapText="false" indent="0" shrinkToFit="false"/>
      <protection locked="true" hidden="false"/>
    </xf>
    <xf numFmtId="166" fontId="7" fillId="4" borderId="0" xfId="0" applyFont="true" applyBorder="false" applyAlignment="true" applyProtection="false">
      <alignment horizontal="right" vertical="center" textRotation="0" wrapText="false" indent="0" shrinkToFit="false"/>
      <protection locked="true" hidden="false"/>
    </xf>
    <xf numFmtId="165" fontId="10" fillId="0" borderId="0" xfId="0" applyFont="true" applyBorder="false" applyAlignment="true" applyProtection="false">
      <alignment horizontal="right" vertical="center" textRotation="0" wrapText="false" indent="0" shrinkToFit="false"/>
      <protection locked="true" hidden="false"/>
    </xf>
    <xf numFmtId="167" fontId="12" fillId="0" borderId="0" xfId="0" applyFont="true" applyBorder="false" applyAlignment="true" applyProtection="false">
      <alignment horizontal="right" vertical="center" textRotation="0" wrapText="false" indent="0" shrinkToFit="false"/>
      <protection locked="true" hidden="false"/>
    </xf>
    <xf numFmtId="167" fontId="7" fillId="4" borderId="0" xfId="0" applyFont="true" applyBorder="false" applyAlignment="true" applyProtection="false">
      <alignment horizontal="right" vertical="center"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true" applyAlignment="true" applyProtection="false">
      <alignment horizontal="left" vertical="center" textRotation="0" wrapText="false" indent="0" shrinkToFit="false"/>
      <protection locked="true" hidden="false"/>
    </xf>
    <xf numFmtId="166" fontId="12" fillId="0" borderId="0" xfId="0" applyFont="true" applyBorder="false" applyAlignment="true" applyProtection="false">
      <alignment horizontal="right" vertical="center" textRotation="0" wrapText="false" indent="0" shrinkToFit="false"/>
      <protection locked="true" hidden="false"/>
    </xf>
    <xf numFmtId="166" fontId="13" fillId="4"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5" fontId="13" fillId="4" borderId="0" xfId="0" applyFont="true" applyBorder="false" applyAlignment="true" applyProtection="false">
      <alignment horizontal="right" vertical="center" textRotation="0" wrapText="false" indent="0" shrinkToFit="false"/>
      <protection locked="true" hidden="false"/>
    </xf>
    <xf numFmtId="168" fontId="13" fillId="4" borderId="0" xfId="0" applyFont="true" applyBorder="false" applyAlignment="true" applyProtection="false">
      <alignment horizontal="right" vertical="center" textRotation="0" wrapText="false" indent="0" shrinkToFit="false"/>
      <protection locked="true" hidden="false"/>
    </xf>
    <xf numFmtId="168" fontId="10"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5" fontId="13"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12"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70C0"/>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FF6600"/>
      <rgbColor rgb="FF757575"/>
      <rgbColor rgb="FF969696"/>
      <rgbColor rgb="FF1F3864"/>
      <rgbColor rgb="FF2E7D32"/>
      <rgbColor rgb="FF003300"/>
      <rgbColor rgb="FF333300"/>
      <rgbColor rgb="FF993300"/>
      <rgbColor rgb="FF993366"/>
      <rgbColor rgb="FF2E5395"/>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2:H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90"/>
    <col collapsed="false" customWidth="true" hidden="false" outlineLevel="0" max="8" min="3" style="0" width="3"/>
  </cols>
  <sheetData>
    <row r="2" customFormat="false" ht="15" hidden="false" customHeight="false" outlineLevel="0" collapsed="false">
      <c r="B2" s="1" t="s">
        <v>0</v>
      </c>
      <c r="C2" s="1"/>
      <c r="D2" s="1"/>
      <c r="E2" s="1"/>
      <c r="F2" s="1"/>
      <c r="G2" s="1"/>
      <c r="H2" s="1"/>
    </row>
    <row r="3" customFormat="false" ht="15" hidden="false" customHeight="false" outlineLevel="0" collapsed="false">
      <c r="B3" s="1"/>
      <c r="C3" s="1"/>
      <c r="D3" s="1"/>
      <c r="E3" s="1"/>
      <c r="F3" s="1"/>
      <c r="G3" s="1"/>
      <c r="H3" s="1"/>
    </row>
    <row r="5" customFormat="false" ht="15" hidden="false" customHeight="false" outlineLevel="0" collapsed="false">
      <c r="B5" s="2" t="s">
        <v>1</v>
      </c>
      <c r="C5" s="2"/>
      <c r="D5" s="2"/>
      <c r="E5" s="2"/>
      <c r="F5" s="2"/>
      <c r="G5" s="2"/>
      <c r="H5" s="2"/>
    </row>
    <row r="6" customFormat="false" ht="15" hidden="false" customHeight="false" outlineLevel="0" collapsed="false">
      <c r="B6" s="2" t="s">
        <v>2</v>
      </c>
      <c r="C6" s="2"/>
      <c r="D6" s="2"/>
      <c r="E6" s="2"/>
      <c r="F6" s="2"/>
      <c r="G6" s="2"/>
      <c r="H6" s="2"/>
    </row>
    <row r="8" customFormat="false" ht="15" hidden="false" customHeight="false" outlineLevel="0" collapsed="false">
      <c r="B8" s="3" t="s">
        <v>3</v>
      </c>
      <c r="C8" s="3"/>
      <c r="D8" s="3"/>
      <c r="E8" s="3"/>
      <c r="F8" s="3"/>
      <c r="G8" s="3"/>
      <c r="H8" s="3"/>
    </row>
    <row r="9" customFormat="false" ht="20.85" hidden="false" customHeight="false" outlineLevel="0" collapsed="false">
      <c r="B9" s="4" t="s">
        <v>4</v>
      </c>
    </row>
    <row r="10" customFormat="false" ht="20.85" hidden="false" customHeight="false" outlineLevel="0" collapsed="false">
      <c r="B10" s="4" t="s">
        <v>5</v>
      </c>
    </row>
    <row r="11" customFormat="false" ht="20.85" hidden="false" customHeight="false" outlineLevel="0" collapsed="false">
      <c r="B11" s="4" t="s">
        <v>6</v>
      </c>
    </row>
    <row r="12" customFormat="false" ht="20.85" hidden="false" customHeight="false" outlineLevel="0" collapsed="false">
      <c r="B12" s="4" t="s">
        <v>7</v>
      </c>
    </row>
    <row r="14" customFormat="false" ht="15" hidden="false" customHeight="false" outlineLevel="0" collapsed="false">
      <c r="B14" s="3" t="s">
        <v>8</v>
      </c>
      <c r="C14" s="3"/>
      <c r="D14" s="3"/>
      <c r="E14" s="3"/>
      <c r="F14" s="3"/>
      <c r="G14" s="3"/>
      <c r="H14" s="3"/>
    </row>
    <row r="15" customFormat="false" ht="27.75" hidden="false" customHeight="true" outlineLevel="0" collapsed="false">
      <c r="B15" s="5" t="s">
        <v>9</v>
      </c>
      <c r="C15" s="5"/>
      <c r="D15" s="5"/>
      <c r="E15" s="5"/>
      <c r="F15" s="5"/>
      <c r="G15" s="5"/>
      <c r="H15" s="5"/>
    </row>
    <row r="16" customFormat="false" ht="27.75" hidden="false" customHeight="true" outlineLevel="0" collapsed="false">
      <c r="B16" s="5" t="s">
        <v>10</v>
      </c>
      <c r="C16" s="5"/>
      <c r="D16" s="5"/>
      <c r="E16" s="5"/>
      <c r="F16" s="5"/>
      <c r="G16" s="5"/>
      <c r="H16" s="5"/>
    </row>
    <row r="17" customFormat="false" ht="27.75" hidden="false" customHeight="true" outlineLevel="0" collapsed="false">
      <c r="B17" s="5" t="s">
        <v>11</v>
      </c>
      <c r="C17" s="5"/>
      <c r="D17" s="5"/>
      <c r="E17" s="5"/>
      <c r="F17" s="5"/>
      <c r="G17" s="5"/>
      <c r="H17" s="5"/>
    </row>
    <row r="18" customFormat="false" ht="27.75" hidden="false" customHeight="true" outlineLevel="0" collapsed="false">
      <c r="B18" s="5" t="s">
        <v>12</v>
      </c>
      <c r="C18" s="5"/>
      <c r="D18" s="5"/>
      <c r="E18" s="5"/>
      <c r="F18" s="5"/>
      <c r="G18" s="5"/>
      <c r="H18" s="5"/>
    </row>
    <row r="19" customFormat="false" ht="27.75" hidden="false" customHeight="true" outlineLevel="0" collapsed="false">
      <c r="B19" s="5" t="s">
        <v>13</v>
      </c>
      <c r="C19" s="5"/>
      <c r="D19" s="5"/>
      <c r="E19" s="5"/>
      <c r="F19" s="5"/>
      <c r="G19" s="5"/>
      <c r="H19" s="5"/>
    </row>
    <row r="20" customFormat="false" ht="27.75" hidden="false" customHeight="true" outlineLevel="0" collapsed="false">
      <c r="B20" s="5" t="s">
        <v>14</v>
      </c>
      <c r="C20" s="5"/>
      <c r="D20" s="5"/>
      <c r="E20" s="5"/>
      <c r="F20" s="5"/>
      <c r="G20" s="5"/>
      <c r="H20" s="5"/>
    </row>
    <row r="22" customFormat="false" ht="15" hidden="false" customHeight="false" outlineLevel="0" collapsed="false">
      <c r="B22" s="6" t="s">
        <v>15</v>
      </c>
      <c r="C22" s="6"/>
      <c r="D22" s="6"/>
      <c r="E22" s="6"/>
      <c r="F22" s="6"/>
      <c r="G22" s="6"/>
      <c r="H22" s="6"/>
    </row>
  </sheetData>
  <mergeCells count="12">
    <mergeCell ref="B2:H3"/>
    <mergeCell ref="B5:H5"/>
    <mergeCell ref="B6:H6"/>
    <mergeCell ref="B8:H8"/>
    <mergeCell ref="B14:H14"/>
    <mergeCell ref="B15:H15"/>
    <mergeCell ref="B16:H16"/>
    <mergeCell ref="B17:H17"/>
    <mergeCell ref="B18:H18"/>
    <mergeCell ref="B19:H19"/>
    <mergeCell ref="B20:H20"/>
    <mergeCell ref="B22:H2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395"/>
    <pageSetUpPr fitToPage="false"/>
  </sheetPr>
  <dimension ref="A1:H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4"/>
    <col collapsed="false" customWidth="true" hidden="false" outlineLevel="0" max="8" min="3" style="0" width="12"/>
  </cols>
  <sheetData>
    <row r="1" customFormat="false" ht="19.7" hidden="false" customHeight="false" outlineLevel="0" collapsed="false">
      <c r="A1" s="1" t="s">
        <v>16</v>
      </c>
      <c r="B1" s="1"/>
      <c r="C1" s="1"/>
      <c r="D1" s="1"/>
      <c r="E1" s="1"/>
      <c r="F1" s="1"/>
      <c r="G1" s="1"/>
      <c r="H1" s="1"/>
    </row>
    <row r="2" customFormat="false" ht="15" hidden="false" customHeight="false" outlineLevel="0" collapsed="false">
      <c r="A2" s="2" t="s">
        <v>17</v>
      </c>
      <c r="B2" s="2"/>
      <c r="C2" s="2"/>
      <c r="D2" s="2"/>
      <c r="E2" s="2"/>
      <c r="F2" s="2"/>
      <c r="G2" s="2"/>
      <c r="H2" s="2"/>
    </row>
    <row r="4" customFormat="false" ht="15" hidden="false" customHeight="false" outlineLevel="0" collapsed="false">
      <c r="A4" s="7" t="s">
        <v>18</v>
      </c>
      <c r="B4" s="8" t="s">
        <v>19</v>
      </c>
      <c r="C4" s="8" t="s">
        <v>20</v>
      </c>
      <c r="D4" s="8" t="s">
        <v>21</v>
      </c>
      <c r="E4" s="8" t="s">
        <v>22</v>
      </c>
      <c r="F4" s="8" t="s">
        <v>23</v>
      </c>
      <c r="G4" s="8" t="s">
        <v>24</v>
      </c>
      <c r="H4" s="9" t="s">
        <v>25</v>
      </c>
    </row>
    <row r="6" customFormat="false" ht="15" hidden="false" customHeight="false" outlineLevel="0" collapsed="false">
      <c r="A6" s="10" t="s">
        <v>26</v>
      </c>
      <c r="B6" s="11" t="s">
        <v>27</v>
      </c>
      <c r="C6" s="12" t="n">
        <v>5855.6</v>
      </c>
      <c r="D6" s="12" t="n">
        <v>8577.3</v>
      </c>
      <c r="E6" s="12" t="n">
        <v>9941.9</v>
      </c>
      <c r="F6" s="12" t="n">
        <v>12294.7</v>
      </c>
      <c r="G6" s="12" t="n">
        <v>14059.6</v>
      </c>
      <c r="H6" s="13" t="n">
        <f aca="false">G6*(1+Assumptions!B5)</f>
        <v>16168.54</v>
      </c>
    </row>
    <row r="7" customFormat="false" ht="15" hidden="false" customHeight="false" outlineLevel="0" collapsed="false">
      <c r="A7" s="10" t="s">
        <v>28</v>
      </c>
      <c r="B7" s="11" t="s">
        <v>29</v>
      </c>
      <c r="C7" s="12" t="n">
        <v>-4597.6</v>
      </c>
      <c r="D7" s="12" t="n">
        <v>-6345.5</v>
      </c>
      <c r="E7" s="12" t="n">
        <v>-6969.2</v>
      </c>
      <c r="F7" s="12" t="n">
        <v>-8965.5</v>
      </c>
      <c r="G7" s="12" t="n">
        <v>-10626.5</v>
      </c>
      <c r="H7" s="13" t="n">
        <f aca="false">-H6*Assumptions!B9</f>
        <v>-12223.41624</v>
      </c>
    </row>
    <row r="8" customFormat="false" ht="15" hidden="false" customHeight="false" outlineLevel="0" collapsed="false">
      <c r="A8" s="14" t="s">
        <v>30</v>
      </c>
      <c r="C8" s="15" t="n">
        <f aca="false">C6+C7</f>
        <v>1258</v>
      </c>
      <c r="D8" s="15" t="n">
        <f aca="false">D6+D7</f>
        <v>2231.8</v>
      </c>
      <c r="E8" s="15" t="n">
        <f aca="false">E6+E7</f>
        <v>2972.7</v>
      </c>
      <c r="F8" s="15" t="n">
        <f aca="false">F6+F7</f>
        <v>3329.2</v>
      </c>
      <c r="G8" s="15" t="n">
        <f aca="false">G6+G7</f>
        <v>3433.1</v>
      </c>
      <c r="H8" s="16" t="n">
        <f aca="false">H6+H7</f>
        <v>3945.12376</v>
      </c>
    </row>
    <row r="9" customFormat="false" ht="15" hidden="false" customHeight="false" outlineLevel="0" collapsed="false">
      <c r="A9" s="10" t="s">
        <v>31</v>
      </c>
      <c r="C9" s="17" t="n">
        <f aca="false">C8/C6</f>
        <v>0.214837079035453</v>
      </c>
      <c r="D9" s="17" t="n">
        <f aca="false">D8/D6</f>
        <v>0.260198430741609</v>
      </c>
      <c r="E9" s="17" t="n">
        <f aca="false">E8/E6</f>
        <v>0.299007232018025</v>
      </c>
      <c r="F9" s="17" t="n">
        <f aca="false">F8/F6</f>
        <v>0.270783345669272</v>
      </c>
      <c r="G9" s="17" t="n">
        <f aca="false">G8/G6</f>
        <v>0.244181911291929</v>
      </c>
      <c r="H9" s="18" t="n">
        <f aca="false">H8/H6</f>
        <v>0.244</v>
      </c>
    </row>
    <row r="11" customFormat="false" ht="15" hidden="false" customHeight="false" outlineLevel="0" collapsed="false">
      <c r="A11" s="10" t="s">
        <v>32</v>
      </c>
      <c r="B11" s="11" t="s">
        <v>33</v>
      </c>
      <c r="C11" s="12" t="n">
        <v>-1300.3</v>
      </c>
      <c r="D11" s="12" t="n">
        <v>-1465.6</v>
      </c>
      <c r="E11" s="12" t="n">
        <v>-1458.2</v>
      </c>
      <c r="F11" s="12" t="n">
        <v>-1450.8</v>
      </c>
      <c r="G11" s="12" t="n">
        <v>-1419.6</v>
      </c>
      <c r="H11" s="13" t="n">
        <f aca="false">-H6*Assumptions!B10</f>
        <v>-1633.02254</v>
      </c>
    </row>
    <row r="12" customFormat="false" ht="15" hidden="false" customHeight="false" outlineLevel="0" collapsed="false">
      <c r="A12" s="10" t="s">
        <v>34</v>
      </c>
      <c r="B12" s="11" t="s">
        <v>35</v>
      </c>
      <c r="C12" s="12" t="n">
        <v>-310.9</v>
      </c>
      <c r="D12" s="12" t="n">
        <v>-517.3</v>
      </c>
      <c r="E12" s="12" t="n">
        <v>-587.6</v>
      </c>
      <c r="F12" s="12" t="n">
        <v>-531.8</v>
      </c>
      <c r="G12" s="12" t="n">
        <v>-485</v>
      </c>
      <c r="H12" s="13" t="n">
        <f aca="false">-H6*Assumptions!B11</f>
        <v>-549.73036</v>
      </c>
    </row>
    <row r="13" customFormat="false" ht="15" hidden="false" customHeight="false" outlineLevel="0" collapsed="false">
      <c r="A13" s="10" t="s">
        <v>36</v>
      </c>
      <c r="B13" s="11" t="s">
        <v>37</v>
      </c>
      <c r="C13" s="12" t="n">
        <v>-1317.5</v>
      </c>
      <c r="D13" s="12" t="n">
        <v>-1724.6</v>
      </c>
      <c r="E13" s="12" t="n">
        <v>-1744.2</v>
      </c>
      <c r="F13" s="12" t="n">
        <v>-1806.9</v>
      </c>
      <c r="G13" s="12" t="n">
        <v>-1411.3</v>
      </c>
      <c r="H13" s="13" t="n">
        <f aca="false">-H6*Assumptions!B12</f>
        <v>-1616.854</v>
      </c>
    </row>
    <row r="14" customFormat="false" ht="15" hidden="false" customHeight="false" outlineLevel="0" collapsed="false">
      <c r="A14" s="10" t="s">
        <v>38</v>
      </c>
      <c r="B14" s="11" t="s">
        <v>39</v>
      </c>
      <c r="C14" s="12" t="n">
        <v>732.1</v>
      </c>
      <c r="D14" s="12" t="n">
        <v>45.9</v>
      </c>
      <c r="E14" s="12" t="n">
        <v>76.5</v>
      </c>
      <c r="F14" s="12" t="n">
        <v>252.3</v>
      </c>
      <c r="G14" s="12" t="n">
        <v>38.8</v>
      </c>
      <c r="H14" s="13" t="n">
        <f aca="false">H6*Assumptions!B13</f>
        <v>48.50562</v>
      </c>
    </row>
    <row r="15" customFormat="false" ht="15" hidden="false" customHeight="false" outlineLevel="0" collapsed="false">
      <c r="A15" s="10" t="s">
        <v>40</v>
      </c>
      <c r="B15" s="11" t="s">
        <v>41</v>
      </c>
      <c r="C15" s="12" t="n">
        <v>-105.6</v>
      </c>
      <c r="D15" s="12" t="n">
        <v>-825.9</v>
      </c>
      <c r="E15" s="12" t="n">
        <v>-885.3</v>
      </c>
      <c r="F15" s="12" t="n">
        <v>-103.1</v>
      </c>
      <c r="G15" s="12" t="n">
        <v>-274.1</v>
      </c>
      <c r="H15" s="13" t="n">
        <f aca="false">-H6*Assumptions!B14</f>
        <v>-323.3708</v>
      </c>
    </row>
    <row r="16" customFormat="false" ht="15" hidden="false" customHeight="false" outlineLevel="0" collapsed="false">
      <c r="A16" s="10" t="s">
        <v>42</v>
      </c>
      <c r="B16" s="11" t="s">
        <v>43</v>
      </c>
      <c r="C16" s="12" t="n">
        <v>-35.4</v>
      </c>
      <c r="D16" s="12" t="n">
        <v>-38.9</v>
      </c>
      <c r="E16" s="12" t="n">
        <v>-30.9</v>
      </c>
      <c r="F16" s="12" t="n">
        <v>-30.1</v>
      </c>
      <c r="G16" s="12" t="n">
        <v>-35.9</v>
      </c>
      <c r="H16" s="13" t="n">
        <f aca="false">-H6*Assumptions!B15</f>
        <v>-48.50562</v>
      </c>
    </row>
    <row r="17" customFormat="false" ht="15" hidden="false" customHeight="false" outlineLevel="0" collapsed="false">
      <c r="A17" s="14" t="s">
        <v>44</v>
      </c>
      <c r="C17" s="15" t="n">
        <f aca="false">C8+C11+C12+C13+C14+C15+C16</f>
        <v>-1079.6</v>
      </c>
      <c r="D17" s="15" t="n">
        <f aca="false">D8+D11+D12+D13+D14+D15+D16</f>
        <v>-2294.6</v>
      </c>
      <c r="E17" s="15" t="n">
        <f aca="false">E8+E11+E12+E13+E14+E15+E16</f>
        <v>-1657</v>
      </c>
      <c r="F17" s="15" t="n">
        <f aca="false">F8+F11+F12+F13+F14+F15+F16</f>
        <v>-341.199999999999</v>
      </c>
      <c r="G17" s="15" t="n">
        <f aca="false">G8+G11+G12+G13+G14+G15+G16</f>
        <v>-154</v>
      </c>
      <c r="H17" s="16" t="n">
        <f aca="false">H8+H11+H12+H13+H14+H15+H16</f>
        <v>-177.85394</v>
      </c>
    </row>
    <row r="18" customFormat="false" ht="15" hidden="false" customHeight="false" outlineLevel="0" collapsed="false">
      <c r="A18" s="10" t="s">
        <v>45</v>
      </c>
      <c r="C18" s="17" t="n">
        <f aca="false">C17/C6</f>
        <v>-0.184370517111825</v>
      </c>
      <c r="D18" s="17" t="n">
        <f aca="false">D17/D6</f>
        <v>-0.267520082077111</v>
      </c>
      <c r="E18" s="17" t="n">
        <f aca="false">E17/E6</f>
        <v>-0.166668343073256</v>
      </c>
      <c r="F18" s="17" t="n">
        <f aca="false">F17/F6</f>
        <v>-0.0277517954891131</v>
      </c>
      <c r="G18" s="17" t="n">
        <f aca="false">G17/G6</f>
        <v>-0.0109533699394008</v>
      </c>
      <c r="H18" s="18" t="n">
        <f aca="false">H17/H6</f>
        <v>-0.011</v>
      </c>
    </row>
    <row r="20" customFormat="false" ht="15" hidden="false" customHeight="false" outlineLevel="0" collapsed="false">
      <c r="A20" s="10" t="s">
        <v>46</v>
      </c>
      <c r="B20" s="11" t="s">
        <v>47</v>
      </c>
      <c r="C20" s="12" t="n">
        <v>-120.1</v>
      </c>
      <c r="D20" s="12" t="n">
        <v>-179.1</v>
      </c>
      <c r="E20" s="12" t="n">
        <v>-232.2</v>
      </c>
      <c r="F20" s="12" t="n">
        <v>-244.6</v>
      </c>
      <c r="G20" s="12" t="n">
        <v>-283.1</v>
      </c>
      <c r="H20" s="13" t="n">
        <f aca="false">-H6*Assumptions!B16</f>
        <v>-323.3708</v>
      </c>
    </row>
    <row r="21" customFormat="false" ht="15" hidden="false" customHeight="false" outlineLevel="0" collapsed="false">
      <c r="A21" s="10" t="s">
        <v>48</v>
      </c>
      <c r="B21" s="11" t="s">
        <v>49</v>
      </c>
      <c r="C21" s="12" t="n">
        <v>420.6</v>
      </c>
      <c r="D21" s="12" t="n">
        <v>-257.2</v>
      </c>
      <c r="E21" s="12" t="n">
        <v>-266.1</v>
      </c>
      <c r="F21" s="12" t="n">
        <v>44.8</v>
      </c>
      <c r="G21" s="12" t="n">
        <v>-28.8</v>
      </c>
      <c r="H21" s="13" t="n">
        <f aca="false">Assumptions!B19</f>
        <v>-83.4</v>
      </c>
    </row>
    <row r="22" customFormat="false" ht="15" hidden="false" customHeight="false" outlineLevel="0" collapsed="false">
      <c r="A22" s="10" t="s">
        <v>50</v>
      </c>
      <c r="B22" s="11" t="s">
        <v>51</v>
      </c>
      <c r="C22" s="12" t="n">
        <v>-179.4</v>
      </c>
      <c r="D22" s="12" t="n">
        <v>-121.4</v>
      </c>
      <c r="E22" s="12" t="n">
        <v>-7.4</v>
      </c>
      <c r="F22" s="12" t="n">
        <v>-1.3</v>
      </c>
      <c r="G22" s="12" t="n">
        <v>-1.5</v>
      </c>
      <c r="H22" s="13" t="n">
        <f aca="false">Assumptions!B20</f>
        <v>-1.5</v>
      </c>
    </row>
    <row r="23" customFormat="false" ht="15" hidden="false" customHeight="false" outlineLevel="0" collapsed="false">
      <c r="A23" s="14" t="s">
        <v>52</v>
      </c>
      <c r="C23" s="15" t="n">
        <f aca="false">C17+C20+C21+C22</f>
        <v>-958.5</v>
      </c>
      <c r="D23" s="15" t="n">
        <f aca="false">D17+D20+D21+D22</f>
        <v>-2852.3</v>
      </c>
      <c r="E23" s="15" t="n">
        <f aca="false">E17+E20+E21+E22</f>
        <v>-2162.7</v>
      </c>
      <c r="F23" s="15" t="n">
        <f aca="false">F17+F20+F21+F22</f>
        <v>-542.299999999999</v>
      </c>
      <c r="G23" s="15" t="n">
        <f aca="false">G17+G20+G21+G22</f>
        <v>-467.4</v>
      </c>
      <c r="H23" s="16" t="n">
        <f aca="false">H17+H20+H21+H22</f>
        <v>-586.12474</v>
      </c>
    </row>
    <row r="24" customFormat="false" ht="15" hidden="false" customHeight="false" outlineLevel="0" collapsed="false">
      <c r="A24" s="10" t="s">
        <v>53</v>
      </c>
      <c r="B24" s="11" t="s">
        <v>54</v>
      </c>
      <c r="C24" s="12" t="n">
        <v>-138.2</v>
      </c>
      <c r="D24" s="12" t="n">
        <v>-141.2</v>
      </c>
      <c r="E24" s="12" t="n">
        <v>-142.1</v>
      </c>
      <c r="F24" s="12" t="n">
        <v>-339.3</v>
      </c>
      <c r="G24" s="12" t="n">
        <v>-230.7</v>
      </c>
      <c r="H24" s="13" t="n">
        <f aca="false">Assumptions!B21</f>
        <v>-230.7</v>
      </c>
    </row>
    <row r="25" customFormat="false" ht="15" hidden="false" customHeight="false" outlineLevel="0" collapsed="false">
      <c r="A25" s="14" t="s">
        <v>55</v>
      </c>
      <c r="C25" s="15" t="n">
        <f aca="false">C23+C24</f>
        <v>-1096.7</v>
      </c>
      <c r="D25" s="15" t="n">
        <f aca="false">D23+D24</f>
        <v>-2993.5</v>
      </c>
      <c r="E25" s="15" t="n">
        <f aca="false">E23+E24</f>
        <v>-2304.8</v>
      </c>
      <c r="F25" s="15" t="n">
        <f aca="false">F23+F24</f>
        <v>-881.599999999999</v>
      </c>
      <c r="G25" s="15" t="n">
        <f aca="false">G23+G24</f>
        <v>-698.1</v>
      </c>
      <c r="H25" s="16" t="n">
        <f aca="false">H23+H24</f>
        <v>-816.82474</v>
      </c>
    </row>
    <row r="26" customFormat="false" ht="15" hidden="false" customHeight="false" outlineLevel="0" collapsed="false">
      <c r="A26" s="10" t="s">
        <v>56</v>
      </c>
      <c r="C26" s="17" t="n">
        <f aca="false">C25/C6</f>
        <v>-0.187290798551814</v>
      </c>
      <c r="D26" s="17" t="n">
        <f aca="false">D25/D6</f>
        <v>-0.349002599885745</v>
      </c>
      <c r="E26" s="17" t="n">
        <f aca="false">E25/E6</f>
        <v>-0.231826914372504</v>
      </c>
      <c r="F26" s="17" t="n">
        <f aca="false">F25/F6</f>
        <v>-0.0717056943235703</v>
      </c>
      <c r="G26" s="17" t="n">
        <f aca="false">G25/G6</f>
        <v>-0.0496529061993229</v>
      </c>
      <c r="H26" s="18" t="n">
        <f aca="false">H25/H6</f>
        <v>-0.0505193876503382</v>
      </c>
    </row>
    <row r="28" customFormat="false" ht="15" hidden="false" customHeight="false" outlineLevel="0" collapsed="false">
      <c r="A28" s="10" t="s">
        <v>57</v>
      </c>
      <c r="B28" s="11" t="s">
        <v>58</v>
      </c>
      <c r="C28" s="12" t="n">
        <v>0</v>
      </c>
      <c r="D28" s="12" t="n">
        <v>14.9</v>
      </c>
      <c r="E28" s="12" t="n">
        <v>-7.2</v>
      </c>
      <c r="F28" s="12" t="n">
        <v>0.8</v>
      </c>
      <c r="G28" s="12" t="n">
        <v>84.6</v>
      </c>
      <c r="H28" s="13" t="n">
        <f aca="false">Assumptions!B22</f>
        <v>84.6</v>
      </c>
    </row>
    <row r="29" customFormat="false" ht="15" hidden="false" customHeight="false" outlineLevel="0" collapsed="false">
      <c r="A29" s="14" t="s">
        <v>59</v>
      </c>
      <c r="C29" s="19" t="n">
        <f aca="false">C25-C28</f>
        <v>-1096.7</v>
      </c>
      <c r="D29" s="19" t="n">
        <f aca="false">D25-D28</f>
        <v>-3008.4</v>
      </c>
      <c r="E29" s="19" t="n">
        <f aca="false">E25-E28</f>
        <v>-2297.6</v>
      </c>
      <c r="F29" s="19" t="n">
        <f aca="false">F25-F28</f>
        <v>-882.399999999999</v>
      </c>
      <c r="G29" s="19" t="n">
        <f aca="false">G25-G28</f>
        <v>-782.7</v>
      </c>
      <c r="H29" s="16" t="n">
        <f aca="false">H25-H28</f>
        <v>-901.42474</v>
      </c>
    </row>
    <row r="30" customFormat="false" ht="15" hidden="false" customHeight="false" outlineLevel="0" collapsed="false">
      <c r="A30" s="10" t="s">
        <v>60</v>
      </c>
      <c r="B30" s="11" t="s">
        <v>61</v>
      </c>
      <c r="C30" s="20" t="n">
        <v>-4.47</v>
      </c>
      <c r="D30" s="20" t="n">
        <v>-11.28</v>
      </c>
      <c r="E30" s="20" t="n">
        <v>-8.57</v>
      </c>
      <c r="F30" s="20" t="n">
        <v>-3.1</v>
      </c>
      <c r="G30" s="20" t="n">
        <v>-2.62</v>
      </c>
      <c r="H30" s="21" t="n">
        <f aca="false">H29/H31</f>
        <v>-3.01741768084835</v>
      </c>
    </row>
    <row r="31" customFormat="false" ht="15" hidden="false" customHeight="false" outlineLevel="0" collapsed="false">
      <c r="A31" s="10" t="s">
        <v>62</v>
      </c>
      <c r="C31" s="22" t="n">
        <f aca="false">C29/C30</f>
        <v>245.346756152125</v>
      </c>
      <c r="D31" s="22" t="n">
        <f aca="false">D29/D30</f>
        <v>266.702127659575</v>
      </c>
      <c r="E31" s="22" t="n">
        <f aca="false">E29/E30</f>
        <v>268.098016336056</v>
      </c>
      <c r="F31" s="22" t="n">
        <f aca="false">F29/F30</f>
        <v>284.645161290322</v>
      </c>
      <c r="G31" s="22" t="n">
        <f aca="false">G29/G30</f>
        <v>298.740458015267</v>
      </c>
      <c r="H31" s="13" t="n">
        <f aca="false">Assumptions!B23</f>
        <v>298.740458015267</v>
      </c>
    </row>
    <row r="33" customFormat="false" ht="15" hidden="false" customHeight="false" outlineLevel="0" collapsed="false">
      <c r="A33" s="23" t="s">
        <v>63</v>
      </c>
      <c r="B33" s="23"/>
      <c r="C33" s="23"/>
      <c r="D33" s="23"/>
      <c r="E33" s="23"/>
      <c r="F33" s="23"/>
      <c r="G33" s="23"/>
      <c r="H33" s="23"/>
    </row>
    <row r="34" customFormat="false" ht="15" hidden="false" customHeight="false" outlineLevel="0" collapsed="false">
      <c r="A34" s="10" t="s">
        <v>64</v>
      </c>
      <c r="B34" s="11" t="s">
        <v>65</v>
      </c>
      <c r="C34" s="12" t="n">
        <v>-795.6</v>
      </c>
      <c r="D34" s="12" t="n">
        <v>-467.2</v>
      </c>
      <c r="E34" s="12" t="n">
        <v>253.6</v>
      </c>
      <c r="F34" s="12" t="n">
        <v>692.5</v>
      </c>
      <c r="G34" s="12" t="n">
        <v>903</v>
      </c>
      <c r="H34" s="13" t="n">
        <f aca="false">Assumptions!B28</f>
        <v>935</v>
      </c>
    </row>
    <row r="35" customFormat="false" ht="15" hidden="false" customHeight="false" outlineLevel="0" collapsed="false">
      <c r="A35" s="10" t="s">
        <v>66</v>
      </c>
      <c r="B35" s="11" t="s">
        <v>65</v>
      </c>
      <c r="C35" s="12" t="n">
        <v>32518.9</v>
      </c>
      <c r="D35" s="12" t="n">
        <v>42826.8</v>
      </c>
      <c r="E35" s="12" t="n">
        <v>45275.2</v>
      </c>
      <c r="F35" s="12" t="n">
        <v>48754</v>
      </c>
      <c r="G35" s="12" t="n">
        <v>49196.8</v>
      </c>
      <c r="H35" s="13" t="n">
        <f aca="false">G35*(1+Assumptions!B6)</f>
        <v>53624.512</v>
      </c>
    </row>
    <row r="36" customFormat="false" ht="15" hidden="false" customHeight="false" outlineLevel="0" collapsed="false">
      <c r="A36" s="10" t="s">
        <v>67</v>
      </c>
      <c r="C36" s="17" t="n">
        <f aca="false">C34/C35</f>
        <v>-0.0244657722124672</v>
      </c>
      <c r="D36" s="17" t="n">
        <f aca="false">D34/D35</f>
        <v>-0.0109090569456509</v>
      </c>
      <c r="E36" s="17" t="n">
        <f aca="false">E34/E35</f>
        <v>0.00560130049121815</v>
      </c>
      <c r="F36" s="17" t="n">
        <f aca="false">F34/F35</f>
        <v>0.0142039627517742</v>
      </c>
      <c r="G36" s="17" t="n">
        <f aca="false">G34/G35</f>
        <v>0.0183548523481202</v>
      </c>
      <c r="H36" s="18" t="n">
        <f aca="false">H34/H35</f>
        <v>0.0174360561080724</v>
      </c>
    </row>
    <row r="37" customFormat="false" ht="15" hidden="false" customHeight="false" outlineLevel="0" collapsed="false">
      <c r="A37" s="10" t="s">
        <v>68</v>
      </c>
      <c r="B37" s="11" t="s">
        <v>65</v>
      </c>
      <c r="C37" s="12" t="n">
        <v>6389.8</v>
      </c>
      <c r="D37" s="12" t="n">
        <v>9218.9</v>
      </c>
      <c r="E37" s="12" t="n">
        <v>10463.2</v>
      </c>
      <c r="F37" s="12" t="n">
        <v>12796.4</v>
      </c>
      <c r="G37" s="12" t="n">
        <v>14803.4</v>
      </c>
      <c r="H37" s="13" t="n">
        <f aca="false">G37*(1+Assumptions!B5)</f>
        <v>17023.91</v>
      </c>
    </row>
    <row r="39" customFormat="false" ht="15" hidden="false" customHeight="false" outlineLevel="0" collapsed="false">
      <c r="A39" s="23" t="s">
        <v>69</v>
      </c>
      <c r="B39" s="23"/>
      <c r="C39" s="23"/>
      <c r="D39" s="23"/>
      <c r="E39" s="23"/>
      <c r="F39" s="23"/>
      <c r="G39" s="23"/>
      <c r="H39" s="23"/>
    </row>
    <row r="40" customFormat="false" ht="15" hidden="false" customHeight="false" outlineLevel="0" collapsed="false">
      <c r="A40" s="10" t="s">
        <v>70</v>
      </c>
      <c r="D40" s="17" t="n">
        <f aca="false">(D6-C6)/ABS(C6)</f>
        <v>0.464802923696974</v>
      </c>
      <c r="E40" s="17" t="n">
        <f aca="false">(E6-D6)/ABS(D6)</f>
        <v>0.159094353701048</v>
      </c>
      <c r="F40" s="17" t="n">
        <f aca="false">(F6-E6)/ABS(E6)</f>
        <v>0.236654965348676</v>
      </c>
      <c r="G40" s="17" t="n">
        <f aca="false">(G6-F6)/ABS(F6)</f>
        <v>0.143549659609425</v>
      </c>
      <c r="H40" s="17" t="n">
        <f aca="false">(H6-G6)/ABS(G6)</f>
        <v>0.15</v>
      </c>
    </row>
    <row r="41" customFormat="false" ht="15" hidden="false" customHeight="false" outlineLevel="0" collapsed="false">
      <c r="A41" s="10" t="s">
        <v>71</v>
      </c>
      <c r="D41" s="17" t="n">
        <f aca="false">(D8-C8)/ABS(C8)</f>
        <v>0.774085850556438</v>
      </c>
      <c r="E41" s="17" t="n">
        <f aca="false">(E8-D8)/ABS(D8)</f>
        <v>0.331974191235774</v>
      </c>
      <c r="F41" s="17" t="n">
        <f aca="false">(F8-E8)/ABS(E8)</f>
        <v>0.119924647626737</v>
      </c>
      <c r="G41" s="17" t="n">
        <f aca="false">(G8-F8)/ABS(F8)</f>
        <v>0.0312086987864951</v>
      </c>
      <c r="H41" s="17" t="n">
        <f aca="false">(H8-G8)/ABS(G8)</f>
        <v>0.149143269930966</v>
      </c>
    </row>
    <row r="42" customFormat="false" ht="15" hidden="false" customHeight="false" outlineLevel="0" collapsed="false">
      <c r="A42" s="10" t="s">
        <v>72</v>
      </c>
      <c r="D42" s="17" t="n">
        <f aca="false">(D37-C37)/ABS(C37)</f>
        <v>0.442752511815706</v>
      </c>
      <c r="E42" s="17" t="n">
        <f aca="false">(E37-D37)/ABS(D37)</f>
        <v>0.134972719087961</v>
      </c>
      <c r="F42" s="17" t="n">
        <f aca="false">(F37-E37)/ABS(E37)</f>
        <v>0.222991054361954</v>
      </c>
      <c r="G42" s="17" t="n">
        <f aca="false">(G37-F37)/ABS(F37)</f>
        <v>0.156840986527461</v>
      </c>
      <c r="H42" s="17" t="n">
        <f aca="false">(H37-G37)/ABS(G37)</f>
        <v>0.15</v>
      </c>
    </row>
    <row r="43" customFormat="false" ht="15" hidden="false" customHeight="false" outlineLevel="0" collapsed="false">
      <c r="A43" s="10" t="s">
        <v>73</v>
      </c>
      <c r="D43" s="17" t="n">
        <f aca="false">(D35-C35)/ABS(C35)</f>
        <v>0.316981816728118</v>
      </c>
      <c r="E43" s="17" t="n">
        <f aca="false">(E35-D35)/ABS(D35)</f>
        <v>0.0571698095585006</v>
      </c>
      <c r="F43" s="17" t="n">
        <f aca="false">(F35-E35)/ABS(E35)</f>
        <v>0.076836767148461</v>
      </c>
      <c r="G43" s="17" t="n">
        <f aca="false">(G35-F35)/ABS(F35)</f>
        <v>0.00908233170611648</v>
      </c>
      <c r="H43" s="17" t="n">
        <f aca="false">(H35-G35)/ABS(G35)</f>
        <v>0.0900000000000001</v>
      </c>
    </row>
    <row r="44" customFormat="false" ht="15" hidden="false" customHeight="false" outlineLevel="0" collapsed="false">
      <c r="A44" s="10" t="s">
        <v>74</v>
      </c>
      <c r="D44" s="17" t="n">
        <f aca="false">(D34-C34)/ABS(C34)</f>
        <v>0.412770236299648</v>
      </c>
      <c r="E44" s="17" t="n">
        <f aca="false">(E34-D34)/ABS(D34)</f>
        <v>1.54280821917808</v>
      </c>
      <c r="F44" s="17" t="n">
        <f aca="false">(F34-E34)/ABS(E34)</f>
        <v>1.73067823343849</v>
      </c>
      <c r="G44" s="17" t="n">
        <f aca="false">(G34-F34)/ABS(F34)</f>
        <v>0.303971119133574</v>
      </c>
      <c r="H44" s="17" t="n">
        <f aca="false">(H34-G34)/ABS(G34)</f>
        <v>0.035437430786268</v>
      </c>
    </row>
    <row r="45" customFormat="false" ht="15" hidden="false" customHeight="false" outlineLevel="0" collapsed="false">
      <c r="A45" s="10" t="s">
        <v>75</v>
      </c>
      <c r="D45" s="22" t="n">
        <f aca="false">D17-C17</f>
        <v>-1215</v>
      </c>
      <c r="E45" s="22" t="n">
        <f aca="false">E17-D17</f>
        <v>637.6</v>
      </c>
      <c r="F45" s="22" t="n">
        <f aca="false">F17-E17</f>
        <v>1315.8</v>
      </c>
      <c r="G45" s="22" t="n">
        <f aca="false">G17-F17</f>
        <v>187.2</v>
      </c>
      <c r="H45" s="22" t="n">
        <f aca="false">H17-G17</f>
        <v>-23.8539400000001</v>
      </c>
    </row>
    <row r="46" customFormat="false" ht="15" hidden="false" customHeight="false" outlineLevel="0" collapsed="false">
      <c r="A46" s="10" t="s">
        <v>76</v>
      </c>
      <c r="D46" s="22" t="n">
        <f aca="false">D25-C25</f>
        <v>-1896.8</v>
      </c>
      <c r="E46" s="22" t="n">
        <f aca="false">E25-D25</f>
        <v>688.699999999999</v>
      </c>
      <c r="F46" s="22" t="n">
        <f aca="false">F25-E25</f>
        <v>1423.2</v>
      </c>
      <c r="G46" s="22" t="n">
        <f aca="false">G25-F25</f>
        <v>183.5</v>
      </c>
      <c r="H46" s="22" t="n">
        <f aca="false">H25-G25</f>
        <v>-118.72474</v>
      </c>
    </row>
    <row r="48" customFormat="false" ht="15" hidden="false" customHeight="false" outlineLevel="0" collapsed="false">
      <c r="A48" s="6" t="s">
        <v>77</v>
      </c>
      <c r="B48" s="6"/>
      <c r="C48" s="6"/>
      <c r="D48" s="6"/>
      <c r="E48" s="6"/>
      <c r="F48" s="6"/>
      <c r="G48" s="6"/>
      <c r="H48" s="6"/>
    </row>
    <row r="49" customFormat="false" ht="15" hidden="false" customHeight="false" outlineLevel="0" collapsed="false">
      <c r="A49" s="10" t="s">
        <v>78</v>
      </c>
      <c r="G49" s="17" t="n">
        <f aca="false">(G37-F37)/ABS(F37)</f>
        <v>0.156840986527461</v>
      </c>
    </row>
    <row r="50" customFormat="false" ht="15" hidden="false" customHeight="false" outlineLevel="0" collapsed="false">
      <c r="A50" s="10" t="s">
        <v>79</v>
      </c>
      <c r="G50" s="24" t="n">
        <v>0.231</v>
      </c>
    </row>
    <row r="51" customFormat="false" ht="15" hidden="false" customHeight="false" outlineLevel="0" collapsed="false">
      <c r="A51" s="10" t="s">
        <v>80</v>
      </c>
      <c r="G51" s="17" t="n">
        <f aca="false">(G35-F35)/ABS(F35)</f>
        <v>0.00908233170611648</v>
      </c>
    </row>
    <row r="52" customFormat="false" ht="15" hidden="false" customHeight="false" outlineLevel="0" collapsed="false">
      <c r="A52" s="10" t="s">
        <v>81</v>
      </c>
      <c r="G52" s="24" t="n">
        <v>0.09</v>
      </c>
    </row>
    <row r="53" customFormat="false" ht="15" hidden="false" customHeight="false" outlineLevel="0" collapsed="false">
      <c r="A53" s="6" t="s">
        <v>82</v>
      </c>
      <c r="B53" s="6"/>
      <c r="C53" s="6"/>
      <c r="D53" s="6"/>
      <c r="E53" s="6"/>
      <c r="F53" s="6"/>
      <c r="G53" s="6"/>
      <c r="H53" s="6"/>
    </row>
    <row r="55" customFormat="false" ht="15" hidden="false" customHeight="false" outlineLevel="0" collapsed="false">
      <c r="A55" s="6" t="s">
        <v>83</v>
      </c>
      <c r="B55" s="6"/>
      <c r="C55" s="6"/>
      <c r="D55" s="6"/>
      <c r="E55" s="6"/>
      <c r="F55" s="6"/>
      <c r="G55" s="6"/>
      <c r="H55" s="6"/>
    </row>
  </sheetData>
  <mergeCells count="7">
    <mergeCell ref="A1:H1"/>
    <mergeCell ref="A2:H2"/>
    <mergeCell ref="A33:H33"/>
    <mergeCell ref="A39:H39"/>
    <mergeCell ref="A48:H48"/>
    <mergeCell ref="A53:H53"/>
    <mergeCell ref="A55:H5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2"/>
    <col collapsed="false" customWidth="true" hidden="false" outlineLevel="0" max="3" min="2" style="0" width="16"/>
    <col collapsed="false" customWidth="true" hidden="false" outlineLevel="0" max="4" min="4" style="0" width="60"/>
  </cols>
  <sheetData>
    <row r="1" customFormat="false" ht="19.7" hidden="false" customHeight="false" outlineLevel="0" collapsed="false">
      <c r="A1" s="1" t="s">
        <v>84</v>
      </c>
      <c r="B1" s="1"/>
      <c r="C1" s="1"/>
      <c r="D1" s="1"/>
    </row>
    <row r="2" customFormat="false" ht="15" hidden="false" customHeight="false" outlineLevel="0" collapsed="false">
      <c r="A2" s="2" t="s">
        <v>85</v>
      </c>
      <c r="B2" s="2"/>
      <c r="C2" s="2"/>
      <c r="D2" s="2"/>
    </row>
    <row r="4" customFormat="false" ht="15" hidden="false" customHeight="false" outlineLevel="0" collapsed="false">
      <c r="A4" s="7" t="s">
        <v>86</v>
      </c>
      <c r="B4" s="8" t="s">
        <v>87</v>
      </c>
      <c r="C4" s="8" t="s">
        <v>88</v>
      </c>
      <c r="D4" s="7" t="s">
        <v>89</v>
      </c>
    </row>
    <row r="5" customFormat="false" ht="25.5" hidden="false" customHeight="true" outlineLevel="0" collapsed="false">
      <c r="A5" s="10" t="s">
        <v>90</v>
      </c>
      <c r="B5" s="25" t="n">
        <v>0.15</v>
      </c>
      <c r="D5" s="26" t="s">
        <v>91</v>
      </c>
    </row>
    <row r="6" customFormat="false" ht="25.5" hidden="false" customHeight="true" outlineLevel="0" collapsed="false">
      <c r="A6" s="10" t="s">
        <v>92</v>
      </c>
      <c r="B6" s="25" t="n">
        <v>0.09</v>
      </c>
      <c r="D6" s="26" t="s">
        <v>93</v>
      </c>
    </row>
    <row r="8" customFormat="false" ht="15" hidden="false" customHeight="false" outlineLevel="0" collapsed="false">
      <c r="A8" s="14" t="s">
        <v>94</v>
      </c>
    </row>
    <row r="9" customFormat="false" ht="25.5" hidden="false" customHeight="true" outlineLevel="0" collapsed="false">
      <c r="A9" s="10" t="s">
        <v>95</v>
      </c>
      <c r="B9" s="25" t="n">
        <v>0.756</v>
      </c>
      <c r="C9" s="17" t="n">
        <f aca="false">-'Income Statement'!G7/'Income Statement'!G6</f>
        <v>0.755818088708071</v>
      </c>
      <c r="D9" s="26" t="s">
        <v>96</v>
      </c>
    </row>
    <row r="10" customFormat="false" ht="25.5" hidden="false" customHeight="true" outlineLevel="0" collapsed="false">
      <c r="A10" s="10" t="s">
        <v>97</v>
      </c>
      <c r="B10" s="25" t="n">
        <v>0.101</v>
      </c>
      <c r="C10" s="17" t="n">
        <f aca="false">-'Income Statement'!G11/'Income Statement'!G6</f>
        <v>0.100970155623204</v>
      </c>
      <c r="D10" s="26" t="s">
        <v>98</v>
      </c>
    </row>
    <row r="11" customFormat="false" ht="25.5" hidden="false" customHeight="true" outlineLevel="0" collapsed="false">
      <c r="A11" s="10" t="s">
        <v>99</v>
      </c>
      <c r="B11" s="25" t="n">
        <v>0.034</v>
      </c>
      <c r="C11" s="17" t="n">
        <f aca="false">-'Income Statement'!G12/'Income Statement'!G6</f>
        <v>0.0344960027312299</v>
      </c>
      <c r="D11" s="26" t="s">
        <v>100</v>
      </c>
    </row>
    <row r="12" customFormat="false" ht="25.5" hidden="false" customHeight="true" outlineLevel="0" collapsed="false">
      <c r="A12" s="10" t="s">
        <v>101</v>
      </c>
      <c r="B12" s="25" t="n">
        <v>0.1</v>
      </c>
      <c r="C12" s="17" t="n">
        <f aca="false">-'Income Statement'!G13/'Income Statement'!G6</f>
        <v>0.100379811658938</v>
      </c>
      <c r="D12" s="26" t="s">
        <v>102</v>
      </c>
    </row>
    <row r="13" customFormat="false" ht="25.5" hidden="false" customHeight="true" outlineLevel="0" collapsed="false">
      <c r="A13" s="10" t="s">
        <v>103</v>
      </c>
      <c r="B13" s="25" t="n">
        <v>0.003</v>
      </c>
      <c r="C13" s="17" t="n">
        <f aca="false">'Income Statement'!G14/'Income Statement'!G6</f>
        <v>0.00275968021849839</v>
      </c>
      <c r="D13" s="26" t="s">
        <v>104</v>
      </c>
    </row>
    <row r="14" customFormat="false" ht="25.5" hidden="false" customHeight="true" outlineLevel="0" collapsed="false">
      <c r="A14" s="10" t="s">
        <v>105</v>
      </c>
      <c r="B14" s="25" t="n">
        <v>0.02</v>
      </c>
      <c r="C14" s="17" t="n">
        <f aca="false">-'Income Statement'!G15/'Income Statement'!G6</f>
        <v>0.0194955759765569</v>
      </c>
      <c r="D14" s="26" t="s">
        <v>106</v>
      </c>
    </row>
    <row r="15" customFormat="false" ht="25.5" hidden="false" customHeight="true" outlineLevel="0" collapsed="false">
      <c r="A15" s="10" t="s">
        <v>107</v>
      </c>
      <c r="B15" s="25" t="n">
        <v>0.003</v>
      </c>
      <c r="C15" s="17" t="n">
        <f aca="false">-'Income Statement'!G16/'Income Statement'!G6</f>
        <v>0.00255341545989929</v>
      </c>
      <c r="D15" s="26" t="s">
        <v>108</v>
      </c>
    </row>
    <row r="16" customFormat="false" ht="25.5" hidden="false" customHeight="true" outlineLevel="0" collapsed="false">
      <c r="A16" s="10" t="s">
        <v>109</v>
      </c>
      <c r="B16" s="25" t="n">
        <v>0.02</v>
      </c>
      <c r="C16" s="17" t="n">
        <f aca="false">-'Income Statement'!G20/'Income Statement'!G6</f>
        <v>0.0201357079860025</v>
      </c>
      <c r="D16" s="26" t="s">
        <v>110</v>
      </c>
    </row>
    <row r="18" customFormat="false" ht="15" hidden="false" customHeight="false" outlineLevel="0" collapsed="false">
      <c r="A18" s="14" t="s">
        <v>111</v>
      </c>
    </row>
    <row r="19" customFormat="false" ht="25.5" hidden="false" customHeight="true" outlineLevel="0" collapsed="false">
      <c r="A19" s="10" t="s">
        <v>112</v>
      </c>
      <c r="B19" s="27" t="n">
        <v>-83.4</v>
      </c>
      <c r="C19" s="22" t="n">
        <f aca="false">AVERAGE('Income Statement'!E21:G21)</f>
        <v>-83.3666666666667</v>
      </c>
      <c r="D19" s="26" t="s">
        <v>113</v>
      </c>
    </row>
    <row r="20" customFormat="false" ht="25.5" hidden="false" customHeight="true" outlineLevel="0" collapsed="false">
      <c r="A20" s="10" t="s">
        <v>114</v>
      </c>
      <c r="B20" s="27" t="n">
        <v>-1.5</v>
      </c>
      <c r="C20" s="22" t="n">
        <f aca="false">'Income Statement'!G22</f>
        <v>-1.5</v>
      </c>
      <c r="D20" s="26" t="s">
        <v>115</v>
      </c>
    </row>
    <row r="21" customFormat="false" ht="25.5" hidden="false" customHeight="true" outlineLevel="0" collapsed="false">
      <c r="A21" s="10" t="s">
        <v>116</v>
      </c>
      <c r="B21" s="27" t="n">
        <v>-230.7</v>
      </c>
      <c r="C21" s="22" t="n">
        <f aca="false">'Income Statement'!G24</f>
        <v>-230.7</v>
      </c>
      <c r="D21" s="26" t="s">
        <v>117</v>
      </c>
    </row>
    <row r="22" customFormat="false" ht="25.5" hidden="false" customHeight="true" outlineLevel="0" collapsed="false">
      <c r="A22" s="10" t="s">
        <v>118</v>
      </c>
      <c r="B22" s="27" t="n">
        <v>84.6</v>
      </c>
      <c r="C22" s="22" t="n">
        <f aca="false">'Income Statement'!G28</f>
        <v>84.6</v>
      </c>
      <c r="D22" s="26" t="s">
        <v>119</v>
      </c>
    </row>
    <row r="23" customFormat="false" ht="25.5" hidden="false" customHeight="true" outlineLevel="0" collapsed="false">
      <c r="A23" s="10" t="s">
        <v>120</v>
      </c>
      <c r="B23" s="16" t="n">
        <f aca="false">'Income Statement'!G31</f>
        <v>298.740458015267</v>
      </c>
      <c r="C23" s="22" t="n">
        <f aca="false">'Income Statement'!G31</f>
        <v>298.740458015267</v>
      </c>
      <c r="D23" s="26" t="s">
        <v>121</v>
      </c>
    </row>
    <row r="25" customFormat="false" ht="15" hidden="false" customHeight="false" outlineLevel="0" collapsed="false">
      <c r="A25" s="23" t="s">
        <v>122</v>
      </c>
      <c r="B25" s="23"/>
      <c r="C25" s="23"/>
      <c r="D25" s="23"/>
    </row>
    <row r="26" customFormat="false" ht="25.5" hidden="false" customHeight="true" outlineLevel="0" collapsed="false">
      <c r="A26" s="10" t="s">
        <v>123</v>
      </c>
      <c r="B26" s="28" t="n">
        <v>910</v>
      </c>
      <c r="D26" s="26" t="s">
        <v>124</v>
      </c>
    </row>
    <row r="27" customFormat="false" ht="25.5" hidden="false" customHeight="true" outlineLevel="0" collapsed="false">
      <c r="A27" s="10" t="s">
        <v>125</v>
      </c>
      <c r="B27" s="28" t="n">
        <v>960</v>
      </c>
      <c r="D27" s="26"/>
    </row>
    <row r="28" customFormat="false" ht="25.5" hidden="false" customHeight="true" outlineLevel="0" collapsed="false">
      <c r="A28" s="10" t="s">
        <v>126</v>
      </c>
      <c r="B28" s="29" t="n">
        <f aca="false">AVERAGE(B26:B27)</f>
        <v>935</v>
      </c>
      <c r="D28" s="26" t="s">
        <v>127</v>
      </c>
    </row>
    <row r="29" customFormat="false" ht="25.5" hidden="false" customHeight="true" outlineLevel="0" collapsed="false">
      <c r="A29" s="10" t="s">
        <v>128</v>
      </c>
      <c r="B29" s="28" t="n">
        <v>200</v>
      </c>
      <c r="D29" s="26" t="s">
        <v>129</v>
      </c>
    </row>
  </sheetData>
  <mergeCells count="3">
    <mergeCell ref="A1:D1"/>
    <mergeCell ref="A2:D2"/>
    <mergeCell ref="A25:D2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I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4"/>
    <col collapsed="false" customWidth="true" hidden="false" outlineLevel="0" max="8" min="3" style="0" width="11"/>
    <col collapsed="false" customWidth="true" hidden="false" outlineLevel="0" max="9" min="9" style="0" width="13"/>
  </cols>
  <sheetData>
    <row r="1" customFormat="false" ht="19.7" hidden="false" customHeight="false" outlineLevel="0" collapsed="false">
      <c r="A1" s="1" t="s">
        <v>130</v>
      </c>
      <c r="B1" s="1"/>
      <c r="C1" s="1"/>
      <c r="D1" s="1"/>
      <c r="E1" s="1"/>
      <c r="F1" s="1"/>
      <c r="G1" s="1"/>
      <c r="H1" s="1"/>
      <c r="I1" s="1"/>
    </row>
    <row r="2" customFormat="false" ht="15" hidden="false" customHeight="false" outlineLevel="0" collapsed="false">
      <c r="A2" s="2" t="s">
        <v>131</v>
      </c>
      <c r="B2" s="2"/>
      <c r="C2" s="2"/>
      <c r="D2" s="2"/>
      <c r="E2" s="2"/>
      <c r="F2" s="2"/>
      <c r="G2" s="2"/>
      <c r="H2" s="2"/>
      <c r="I2" s="2"/>
    </row>
    <row r="4" customFormat="false" ht="15" hidden="false" customHeight="false" outlineLevel="0" collapsed="false">
      <c r="A4" s="7" t="s">
        <v>18</v>
      </c>
      <c r="B4" s="30"/>
      <c r="C4" s="8" t="s">
        <v>20</v>
      </c>
      <c r="D4" s="8" t="s">
        <v>21</v>
      </c>
      <c r="E4" s="8" t="s">
        <v>22</v>
      </c>
      <c r="F4" s="8" t="s">
        <v>23</v>
      </c>
      <c r="G4" s="8" t="s">
        <v>24</v>
      </c>
      <c r="H4" s="9" t="s">
        <v>25</v>
      </c>
      <c r="I4" s="8" t="s">
        <v>132</v>
      </c>
    </row>
    <row r="6" customFormat="false" ht="15" hidden="false" customHeight="false" outlineLevel="0" collapsed="false">
      <c r="A6" s="23" t="s">
        <v>133</v>
      </c>
      <c r="B6" s="23"/>
      <c r="C6" s="23"/>
      <c r="D6" s="23"/>
      <c r="E6" s="23"/>
      <c r="F6" s="23"/>
      <c r="G6" s="23"/>
      <c r="H6" s="23"/>
      <c r="I6" s="23"/>
    </row>
    <row r="7" customFormat="false" ht="15" hidden="false" customHeight="false" outlineLevel="0" collapsed="false">
      <c r="A7" s="14" t="s">
        <v>66</v>
      </c>
      <c r="C7" s="19" t="n">
        <f aca="false">'Income Statement'!C35</f>
        <v>32518.9</v>
      </c>
      <c r="D7" s="19" t="n">
        <f aca="false">'Income Statement'!D35</f>
        <v>42826.8</v>
      </c>
      <c r="E7" s="19" t="n">
        <f aca="false">'Income Statement'!E35</f>
        <v>45275.2</v>
      </c>
      <c r="F7" s="19" t="n">
        <f aca="false">'Income Statement'!F35</f>
        <v>48754</v>
      </c>
      <c r="G7" s="19" t="n">
        <f aca="false">'Income Statement'!G35</f>
        <v>49196.8</v>
      </c>
      <c r="H7" s="16" t="n">
        <f aca="false">'Income Statement'!H35</f>
        <v>53624.512</v>
      </c>
      <c r="I7" s="17" t="n">
        <f aca="false">IFERROR((G7/C7)^(1/4)-1,"n/m")</f>
        <v>0.1090477680127</v>
      </c>
    </row>
    <row r="8" customFormat="false" ht="15" hidden="false" customHeight="false" outlineLevel="0" collapsed="false">
      <c r="A8" s="10" t="s">
        <v>134</v>
      </c>
      <c r="D8" s="17" t="n">
        <f aca="false">(D7-C7)/ABS(C7)</f>
        <v>0.316981816728118</v>
      </c>
      <c r="E8" s="17" t="n">
        <f aca="false">(E7-D7)/ABS(D7)</f>
        <v>0.0571698095585006</v>
      </c>
      <c r="F8" s="17" t="n">
        <f aca="false">(F7-E7)/ABS(E7)</f>
        <v>0.076836767148461</v>
      </c>
      <c r="G8" s="17" t="n">
        <f aca="false">(G7-F7)/ABS(F7)</f>
        <v>0.00908233170611648</v>
      </c>
      <c r="H8" s="17" t="n">
        <f aca="false">(H7-G7)/ABS(G7)</f>
        <v>0.0900000000000001</v>
      </c>
    </row>
    <row r="10" customFormat="false" ht="15" hidden="false" customHeight="false" outlineLevel="0" collapsed="false">
      <c r="A10" s="14" t="s">
        <v>68</v>
      </c>
      <c r="C10" s="19" t="n">
        <f aca="false">'Income Statement'!C37</f>
        <v>6389.8</v>
      </c>
      <c r="D10" s="19" t="n">
        <f aca="false">'Income Statement'!D37</f>
        <v>9218.9</v>
      </c>
      <c r="E10" s="19" t="n">
        <f aca="false">'Income Statement'!E37</f>
        <v>10463.2</v>
      </c>
      <c r="F10" s="19" t="n">
        <f aca="false">'Income Statement'!F37</f>
        <v>12796.4</v>
      </c>
      <c r="G10" s="19" t="n">
        <f aca="false">'Income Statement'!G37</f>
        <v>14803.4</v>
      </c>
      <c r="H10" s="16" t="n">
        <f aca="false">'Income Statement'!H37</f>
        <v>17023.91</v>
      </c>
      <c r="I10" s="17" t="n">
        <f aca="false">IFERROR((G10/C10)^(1/4)-1,"n/m")</f>
        <v>0.233725531296989</v>
      </c>
    </row>
    <row r="11" customFormat="false" ht="15" hidden="false" customHeight="false" outlineLevel="0" collapsed="false">
      <c r="A11" s="10" t="s">
        <v>134</v>
      </c>
      <c r="D11" s="17" t="n">
        <f aca="false">(D10-C10)/ABS(C10)</f>
        <v>0.442752511815706</v>
      </c>
      <c r="E11" s="17" t="n">
        <f aca="false">(E10-D10)/ABS(D10)</f>
        <v>0.134972719087961</v>
      </c>
      <c r="F11" s="17" t="n">
        <f aca="false">(F10-E10)/ABS(E10)</f>
        <v>0.222991054361954</v>
      </c>
      <c r="G11" s="17" t="n">
        <f aca="false">(G10-F10)/ABS(F10)</f>
        <v>0.156840986527461</v>
      </c>
      <c r="H11" s="17" t="n">
        <f aca="false">(H10-G10)/ABS(G10)</f>
        <v>0.15</v>
      </c>
    </row>
    <row r="13" customFormat="false" ht="15" hidden="false" customHeight="false" outlineLevel="0" collapsed="false">
      <c r="A13" s="14" t="s">
        <v>135</v>
      </c>
      <c r="C13" s="19" t="n">
        <f aca="false">'Income Statement'!C6</f>
        <v>5855.6</v>
      </c>
      <c r="D13" s="19" t="n">
        <f aca="false">'Income Statement'!D6</f>
        <v>8577.3</v>
      </c>
      <c r="E13" s="19" t="n">
        <f aca="false">'Income Statement'!E6</f>
        <v>9941.9</v>
      </c>
      <c r="F13" s="19" t="n">
        <f aca="false">'Income Statement'!F6</f>
        <v>12294.7</v>
      </c>
      <c r="G13" s="19" t="n">
        <f aca="false">'Income Statement'!G6</f>
        <v>14059.6</v>
      </c>
      <c r="H13" s="16" t="n">
        <f aca="false">'Income Statement'!H6</f>
        <v>16168.54</v>
      </c>
      <c r="I13" s="17" t="n">
        <f aca="false">IFERROR((G13/C13)^(1/4)-1,"n/m")</f>
        <v>0.244802324788351</v>
      </c>
    </row>
    <row r="14" customFormat="false" ht="15" hidden="false" customHeight="false" outlineLevel="0" collapsed="false">
      <c r="A14" s="10" t="s">
        <v>134</v>
      </c>
      <c r="D14" s="17" t="n">
        <f aca="false">(D13-C13)/ABS(C13)</f>
        <v>0.464802923696974</v>
      </c>
      <c r="E14" s="17" t="n">
        <f aca="false">(E13-D13)/ABS(D13)</f>
        <v>0.159094353701048</v>
      </c>
      <c r="F14" s="17" t="n">
        <f aca="false">(F13-E13)/ABS(E13)</f>
        <v>0.236654965348676</v>
      </c>
      <c r="G14" s="17" t="n">
        <f aca="false">(G13-F13)/ABS(F13)</f>
        <v>0.143549659609425</v>
      </c>
      <c r="H14" s="17" t="n">
        <f aca="false">(H13-G13)/ABS(G13)</f>
        <v>0.15</v>
      </c>
    </row>
    <row r="16" customFormat="false" ht="15" hidden="false" customHeight="false" outlineLevel="0" collapsed="false">
      <c r="A16" s="14" t="s">
        <v>136</v>
      </c>
      <c r="C16" s="19" t="n">
        <f aca="false">'Income Statement'!C34</f>
        <v>-795.6</v>
      </c>
      <c r="D16" s="19" t="n">
        <f aca="false">'Income Statement'!D34</f>
        <v>-467.2</v>
      </c>
      <c r="E16" s="19" t="n">
        <f aca="false">'Income Statement'!E34</f>
        <v>253.6</v>
      </c>
      <c r="F16" s="19" t="n">
        <f aca="false">'Income Statement'!F34</f>
        <v>692.5</v>
      </c>
      <c r="G16" s="19" t="n">
        <f aca="false">'Income Statement'!G34</f>
        <v>903</v>
      </c>
      <c r="H16" s="16" t="n">
        <f aca="false">'Income Statement'!H34</f>
        <v>935</v>
      </c>
      <c r="I16" s="31" t="s">
        <v>137</v>
      </c>
    </row>
    <row r="17" customFormat="false" ht="15" hidden="false" customHeight="false" outlineLevel="0" collapsed="false">
      <c r="A17" s="10" t="s">
        <v>138</v>
      </c>
      <c r="D17" s="17" t="n">
        <f aca="false">(D16-C16)/ABS(C16)</f>
        <v>0.412770236299648</v>
      </c>
      <c r="E17" s="17" t="n">
        <f aca="false">(E16-D16)/ABS(D16)</f>
        <v>1.54280821917808</v>
      </c>
      <c r="F17" s="17" t="n">
        <f aca="false">(F16-E16)/ABS(E16)</f>
        <v>1.73067823343849</v>
      </c>
      <c r="G17" s="17" t="n">
        <f aca="false">(G16-F16)/ABS(F16)</f>
        <v>0.303971119133574</v>
      </c>
      <c r="H17" s="17" t="n">
        <f aca="false">(H16-G16)/ABS(G16)</f>
        <v>0.035437430786268</v>
      </c>
    </row>
    <row r="20" customFormat="false" ht="15" hidden="false" customHeight="false" outlineLevel="0" collapsed="false">
      <c r="A20" s="23" t="s">
        <v>139</v>
      </c>
      <c r="B20" s="23"/>
      <c r="C20" s="23"/>
      <c r="D20" s="23"/>
      <c r="E20" s="23"/>
      <c r="F20" s="23"/>
      <c r="G20" s="23"/>
      <c r="H20" s="23"/>
      <c r="I20" s="23"/>
    </row>
    <row r="21" customFormat="false" ht="15" hidden="false" customHeight="false" outlineLevel="0" collapsed="false">
      <c r="A21" s="14" t="s">
        <v>140</v>
      </c>
      <c r="B21" s="11" t="s">
        <v>141</v>
      </c>
      <c r="C21" s="32" t="n">
        <v>2897.3</v>
      </c>
      <c r="D21" s="32" t="n">
        <v>3803.6</v>
      </c>
      <c r="E21" s="32" t="n">
        <v>3729.4</v>
      </c>
      <c r="F21" s="32" t="n">
        <v>4071.9</v>
      </c>
      <c r="G21" s="32" t="n">
        <v>4417.7</v>
      </c>
      <c r="I21" s="17" t="n">
        <f aca="false">IFERROR((G21/C21)^(1/4)-1,"n/m")</f>
        <v>0.111221635275596</v>
      </c>
    </row>
    <row r="22" customFormat="false" ht="15" hidden="false" customHeight="false" outlineLevel="0" collapsed="false">
      <c r="A22" s="10" t="s">
        <v>134</v>
      </c>
      <c r="D22" s="17" t="n">
        <f aca="false">(D21-C21)/ABS(C21)</f>
        <v>0.312808476857764</v>
      </c>
      <c r="E22" s="17" t="n">
        <f aca="false">(E21-D21)/ABS(D21)</f>
        <v>-0.0195078346829319</v>
      </c>
      <c r="F22" s="17" t="n">
        <f aca="false">(F21-E21)/ABS(E21)</f>
        <v>0.0918378291414169</v>
      </c>
      <c r="G22" s="17" t="n">
        <f aca="false">(G21-F21)/ABS(F21)</f>
        <v>0.0849235000859549</v>
      </c>
    </row>
    <row r="23" customFormat="false" ht="15" hidden="false" customHeight="false" outlineLevel="0" collapsed="false">
      <c r="A23" s="10" t="s">
        <v>142</v>
      </c>
      <c r="C23" s="17" t="n">
        <f aca="false">C21/C10</f>
        <v>0.453425772324642</v>
      </c>
      <c r="D23" s="17" t="n">
        <f aca="false">D21/D10</f>
        <v>0.412587185022074</v>
      </c>
      <c r="E23" s="17" t="n">
        <f aca="false">E21/E10</f>
        <v>0.356430155210643</v>
      </c>
      <c r="F23" s="17" t="n">
        <f aca="false">F21/F10</f>
        <v>0.31820668312963</v>
      </c>
      <c r="G23" s="17" t="n">
        <f aca="false">G21/G10</f>
        <v>0.298424686220733</v>
      </c>
    </row>
    <row r="24" customFormat="false" ht="15" hidden="false" customHeight="false" outlineLevel="0" collapsed="false">
      <c r="A24" s="10" t="s">
        <v>143</v>
      </c>
      <c r="B24" s="11" t="s">
        <v>141</v>
      </c>
      <c r="C24" s="12" t="n">
        <v>21064.5</v>
      </c>
      <c r="D24" s="12" t="n">
        <v>26910.4</v>
      </c>
      <c r="E24" s="12" t="n">
        <v>25354.2</v>
      </c>
      <c r="F24" s="12" t="n">
        <v>23407.4</v>
      </c>
      <c r="G24" s="12" t="n">
        <v>20779.7</v>
      </c>
      <c r="I24" s="17" t="n">
        <f aca="false">IFERROR((G24/C24)^(1/4)-1,"n/m")</f>
        <v>-0.00339736846092675</v>
      </c>
    </row>
    <row r="25" customFormat="false" ht="15" hidden="false" customHeight="false" outlineLevel="0" collapsed="false">
      <c r="A25" s="10" t="s">
        <v>134</v>
      </c>
      <c r="D25" s="17" t="n">
        <f aca="false">(D24-C24)/ABS(C24)</f>
        <v>0.277523795960028</v>
      </c>
      <c r="E25" s="17" t="n">
        <f aca="false">(E24-D24)/ABS(D24)</f>
        <v>-0.0578289434568048</v>
      </c>
      <c r="F25" s="17" t="n">
        <f aca="false">(F24-E24)/ABS(E24)</f>
        <v>-0.0767841225516877</v>
      </c>
      <c r="G25" s="17" t="n">
        <f aca="false">(G24-F24)/ABS(F24)</f>
        <v>-0.112259370968155</v>
      </c>
    </row>
    <row r="26" customFormat="false" ht="15" hidden="false" customHeight="false" outlineLevel="0" collapsed="false">
      <c r="A26" s="10" t="s">
        <v>144</v>
      </c>
      <c r="B26" s="11" t="s">
        <v>141</v>
      </c>
      <c r="C26" s="31" t="s">
        <v>145</v>
      </c>
      <c r="D26" s="12" t="n">
        <v>57</v>
      </c>
      <c r="E26" s="12" t="n">
        <v>385</v>
      </c>
      <c r="F26" s="12" t="n">
        <v>385.1</v>
      </c>
      <c r="G26" s="12" t="n">
        <v>333.1</v>
      </c>
    </row>
    <row r="27" customFormat="false" ht="15" hidden="false" customHeight="false" outlineLevel="0" collapsed="false">
      <c r="A27" s="10" t="s">
        <v>146</v>
      </c>
      <c r="C27" s="17" t="str">
        <f aca="false">IFERROR(C26/C24,"n/m")</f>
        <v>n/m</v>
      </c>
      <c r="D27" s="17" t="n">
        <f aca="false">IFERROR(D26/D24,"n/m")</f>
        <v>0.00211814019858493</v>
      </c>
      <c r="E27" s="17" t="n">
        <f aca="false">IFERROR(E26/E24,"n/m")</f>
        <v>0.0151848608908978</v>
      </c>
      <c r="F27" s="17" t="n">
        <f aca="false">IFERROR(F26/F24,"n/m")</f>
        <v>0.0164520621683741</v>
      </c>
      <c r="G27" s="17" t="n">
        <f aca="false">IFERROR(G26/G24,"n/m")</f>
        <v>0.0160300678065612</v>
      </c>
    </row>
    <row r="29" customFormat="false" ht="15" hidden="false" customHeight="false" outlineLevel="0" collapsed="false">
      <c r="A29" s="23" t="s">
        <v>147</v>
      </c>
      <c r="B29" s="23"/>
      <c r="C29" s="23"/>
      <c r="D29" s="23"/>
      <c r="E29" s="23"/>
      <c r="F29" s="23"/>
      <c r="G29" s="23"/>
      <c r="H29" s="23"/>
      <c r="I29" s="23"/>
    </row>
    <row r="30" customFormat="false" ht="15" hidden="false" customHeight="false" outlineLevel="0" collapsed="false">
      <c r="A30" s="14" t="s">
        <v>140</v>
      </c>
      <c r="B30" s="11" t="s">
        <v>141</v>
      </c>
      <c r="C30" s="32" t="n">
        <v>1562.9</v>
      </c>
      <c r="D30" s="32" t="n">
        <v>2218.4</v>
      </c>
      <c r="E30" s="32" t="n">
        <v>2700.8</v>
      </c>
      <c r="F30" s="32" t="n">
        <v>3527.8</v>
      </c>
      <c r="G30" s="32" t="n">
        <v>4033.7</v>
      </c>
      <c r="I30" s="17" t="n">
        <f aca="false">IFERROR((G30/C30)^(1/4)-1,"n/m")</f>
        <v>0.267485795553975</v>
      </c>
    </row>
    <row r="31" customFormat="false" ht="15" hidden="false" customHeight="false" outlineLevel="0" collapsed="false">
      <c r="A31" s="10" t="s">
        <v>134</v>
      </c>
      <c r="D31" s="17" t="n">
        <f aca="false">(D30-C30)/ABS(C30)</f>
        <v>0.419412630366626</v>
      </c>
      <c r="E31" s="17" t="n">
        <f aca="false">(E30-D30)/ABS(D30)</f>
        <v>0.217454020915976</v>
      </c>
      <c r="F31" s="17" t="n">
        <f aca="false">(F30-E30)/ABS(E30)</f>
        <v>0.306205568720379</v>
      </c>
      <c r="G31" s="17" t="n">
        <f aca="false">(G30-F30)/ABS(F30)</f>
        <v>0.143403821078292</v>
      </c>
    </row>
    <row r="32" customFormat="false" ht="15" hidden="false" customHeight="false" outlineLevel="0" collapsed="false">
      <c r="A32" s="10" t="s">
        <v>142</v>
      </c>
      <c r="C32" s="17" t="n">
        <f aca="false">C30/C10</f>
        <v>0.244592945006103</v>
      </c>
      <c r="D32" s="17" t="n">
        <f aca="false">D30/D10</f>
        <v>0.240636084565404</v>
      </c>
      <c r="E32" s="17" t="n">
        <f aca="false">E30/E10</f>
        <v>0.258123709763743</v>
      </c>
      <c r="F32" s="17" t="n">
        <f aca="false">F30/F10</f>
        <v>0.275686911943984</v>
      </c>
      <c r="G32" s="17" t="n">
        <f aca="false">G30/G10</f>
        <v>0.272484699460935</v>
      </c>
    </row>
    <row r="33" customFormat="false" ht="15" hidden="false" customHeight="false" outlineLevel="0" collapsed="false">
      <c r="A33" s="10" t="s">
        <v>143</v>
      </c>
      <c r="B33" s="11" t="s">
        <v>141</v>
      </c>
      <c r="C33" s="12" t="n">
        <v>6755.9</v>
      </c>
      <c r="D33" s="12" t="n">
        <v>8542.3</v>
      </c>
      <c r="E33" s="12" t="n">
        <v>9959.3</v>
      </c>
      <c r="F33" s="12" t="n">
        <v>12825.9</v>
      </c>
      <c r="G33" s="12" t="n">
        <v>14644.3</v>
      </c>
      <c r="I33" s="17" t="n">
        <f aca="false">IFERROR((G33/C33)^(1/4)-1,"n/m")</f>
        <v>0.213378655866425</v>
      </c>
    </row>
    <row r="34" customFormat="false" ht="15" hidden="false" customHeight="false" outlineLevel="0" collapsed="false">
      <c r="A34" s="10" t="s">
        <v>134</v>
      </c>
      <c r="D34" s="17" t="n">
        <f aca="false">(D33-C33)/ABS(C33)</f>
        <v>0.26442072854838</v>
      </c>
      <c r="E34" s="17" t="n">
        <f aca="false">(E33-D33)/ABS(D33)</f>
        <v>0.165880383503272</v>
      </c>
      <c r="F34" s="17" t="n">
        <f aca="false">(F33-E33)/ABS(E33)</f>
        <v>0.287831474099585</v>
      </c>
      <c r="G34" s="17" t="n">
        <f aca="false">(G33-F33)/ABS(F33)</f>
        <v>0.141775625882004</v>
      </c>
    </row>
    <row r="35" customFormat="false" ht="15" hidden="false" customHeight="false" outlineLevel="0" collapsed="false">
      <c r="A35" s="10" t="s">
        <v>144</v>
      </c>
      <c r="B35" s="11" t="s">
        <v>141</v>
      </c>
      <c r="C35" s="31" t="s">
        <v>145</v>
      </c>
      <c r="D35" s="12" t="n">
        <v>130.8</v>
      </c>
      <c r="E35" s="12" t="n">
        <v>304.6</v>
      </c>
      <c r="F35" s="12" t="n">
        <v>472.9</v>
      </c>
      <c r="G35" s="12" t="n">
        <v>546</v>
      </c>
    </row>
    <row r="36" customFormat="false" ht="15" hidden="false" customHeight="false" outlineLevel="0" collapsed="false">
      <c r="A36" s="10" t="s">
        <v>146</v>
      </c>
      <c r="C36" s="17" t="str">
        <f aca="false">IFERROR(C35/C33,"n/m")</f>
        <v>n/m</v>
      </c>
      <c r="D36" s="17" t="n">
        <f aca="false">IFERROR(D35/D33,"n/m")</f>
        <v>0.015312035400302</v>
      </c>
      <c r="E36" s="17" t="n">
        <f aca="false">IFERROR(E35/E33,"n/m")</f>
        <v>0.0305844788288334</v>
      </c>
      <c r="F36" s="17" t="n">
        <f aca="false">IFERROR(F35/F33,"n/m")</f>
        <v>0.0368707069289485</v>
      </c>
      <c r="G36" s="17" t="n">
        <f aca="false">IFERROR(G35/G33,"n/m")</f>
        <v>0.037284131027089</v>
      </c>
    </row>
    <row r="38" customFormat="false" ht="15" hidden="false" customHeight="false" outlineLevel="0" collapsed="false">
      <c r="A38" s="23" t="s">
        <v>148</v>
      </c>
      <c r="B38" s="23"/>
      <c r="C38" s="23"/>
      <c r="D38" s="23"/>
      <c r="E38" s="23"/>
      <c r="F38" s="23"/>
      <c r="G38" s="23"/>
      <c r="H38" s="23"/>
      <c r="I38" s="23"/>
    </row>
    <row r="39" customFormat="false" ht="15" hidden="false" customHeight="false" outlineLevel="0" collapsed="false">
      <c r="A39" s="14" t="s">
        <v>140</v>
      </c>
      <c r="B39" s="11" t="s">
        <v>141</v>
      </c>
      <c r="C39" s="32" t="n">
        <v>571.4</v>
      </c>
      <c r="D39" s="32" t="n">
        <v>980.5</v>
      </c>
      <c r="E39" s="32" t="n">
        <v>1522.4</v>
      </c>
      <c r="F39" s="32" t="n">
        <v>1891.9</v>
      </c>
      <c r="G39" s="32" t="n">
        <v>2486.3</v>
      </c>
      <c r="I39" s="17" t="n">
        <f aca="false">IFERROR((G39/C39)^(1/4)-1,"n/m")</f>
        <v>0.4442864056905</v>
      </c>
    </row>
    <row r="40" customFormat="false" ht="15" hidden="false" customHeight="false" outlineLevel="0" collapsed="false">
      <c r="A40" s="10" t="s">
        <v>134</v>
      </c>
      <c r="D40" s="17" t="n">
        <f aca="false">(D39-C39)/ABS(C39)</f>
        <v>0.715960798039902</v>
      </c>
      <c r="E40" s="17" t="n">
        <f aca="false">(E39-D39)/ABS(D39)</f>
        <v>0.552677205507394</v>
      </c>
      <c r="F40" s="17" t="n">
        <f aca="false">(F39-E39)/ABS(E39)</f>
        <v>0.242708880714661</v>
      </c>
      <c r="G40" s="17" t="n">
        <f aca="false">(G39-F39)/ABS(F39)</f>
        <v>0.314181510650669</v>
      </c>
    </row>
    <row r="41" customFormat="false" ht="15" hidden="false" customHeight="false" outlineLevel="0" collapsed="false">
      <c r="A41" s="10" t="s">
        <v>142</v>
      </c>
      <c r="C41" s="17" t="n">
        <f aca="false">C39/C10</f>
        <v>0.0894237691320542</v>
      </c>
      <c r="D41" s="17" t="n">
        <f aca="false">D39/D10</f>
        <v>0.106357591469698</v>
      </c>
      <c r="E41" s="17" t="n">
        <f aca="false">E39/E10</f>
        <v>0.145500420521447</v>
      </c>
      <c r="F41" s="17" t="n">
        <f aca="false">F39/F10</f>
        <v>0.14784626926323</v>
      </c>
      <c r="G41" s="17" t="n">
        <f aca="false">G39/G10</f>
        <v>0.167954659064809</v>
      </c>
    </row>
    <row r="42" customFormat="false" ht="15" hidden="false" customHeight="false" outlineLevel="0" collapsed="false">
      <c r="A42" s="10" t="s">
        <v>143</v>
      </c>
      <c r="B42" s="11" t="s">
        <v>141</v>
      </c>
      <c r="C42" s="12" t="n">
        <v>2740.7</v>
      </c>
      <c r="D42" s="12" t="n">
        <v>4782.7</v>
      </c>
      <c r="E42" s="12" t="n">
        <v>7510</v>
      </c>
      <c r="F42" s="12" t="n">
        <v>8878.7</v>
      </c>
      <c r="G42" s="12" t="n">
        <v>9693.2</v>
      </c>
      <c r="I42" s="17" t="n">
        <f aca="false">IFERROR((G42/C42)^(1/4)-1,"n/m")</f>
        <v>0.37135981275664</v>
      </c>
    </row>
    <row r="43" customFormat="false" ht="15" hidden="false" customHeight="false" outlineLevel="0" collapsed="false">
      <c r="A43" s="10" t="s">
        <v>134</v>
      </c>
      <c r="D43" s="17" t="n">
        <f aca="false">(D42-C42)/ABS(C42)</f>
        <v>0.745065129346517</v>
      </c>
      <c r="E43" s="17" t="n">
        <f aca="false">(E42-D42)/ABS(D42)</f>
        <v>0.570242749911138</v>
      </c>
      <c r="F43" s="17" t="n">
        <f aca="false">(F42-E42)/ABS(E42)</f>
        <v>0.182250332889481</v>
      </c>
      <c r="G43" s="17" t="n">
        <f aca="false">(G42-F42)/ABS(F42)</f>
        <v>0.0917364028517688</v>
      </c>
    </row>
    <row r="44" customFormat="false" ht="15" hidden="false" customHeight="false" outlineLevel="0" collapsed="false">
      <c r="A44" s="10" t="s">
        <v>144</v>
      </c>
      <c r="B44" s="11" t="s">
        <v>141</v>
      </c>
      <c r="C44" s="31" t="s">
        <v>145</v>
      </c>
      <c r="D44" s="12" t="n">
        <v>-158.5</v>
      </c>
      <c r="E44" s="12" t="n">
        <v>-168.2</v>
      </c>
      <c r="F44" s="12" t="n">
        <v>-77</v>
      </c>
      <c r="G44" s="12" t="n">
        <v>-79.2</v>
      </c>
    </row>
    <row r="45" customFormat="false" ht="15" hidden="false" customHeight="false" outlineLevel="0" collapsed="false">
      <c r="A45" s="10" t="s">
        <v>146</v>
      </c>
      <c r="C45" s="17" t="str">
        <f aca="false">IFERROR(C44/C42,"n/m")</f>
        <v>n/m</v>
      </c>
      <c r="D45" s="17" t="n">
        <f aca="false">IFERROR(D44/D42,"n/m")</f>
        <v>-0.0331402764129048</v>
      </c>
      <c r="E45" s="17" t="n">
        <f aca="false">IFERROR(E44/E42,"n/m")</f>
        <v>-0.0223968042609854</v>
      </c>
      <c r="F45" s="17" t="n">
        <f aca="false">IFERROR(F44/F42,"n/m")</f>
        <v>-0.00867244078525009</v>
      </c>
      <c r="G45" s="17" t="n">
        <f aca="false">IFERROR(G44/G42,"n/m")</f>
        <v>-0.00817067635043123</v>
      </c>
    </row>
    <row r="47" customFormat="false" ht="15" hidden="false" customHeight="false" outlineLevel="0" collapsed="false">
      <c r="A47" s="23" t="s">
        <v>149</v>
      </c>
      <c r="B47" s="23"/>
      <c r="C47" s="23"/>
      <c r="D47" s="23"/>
      <c r="E47" s="23"/>
      <c r="F47" s="23"/>
      <c r="G47" s="23"/>
      <c r="H47" s="23"/>
      <c r="I47" s="23"/>
    </row>
    <row r="48" customFormat="false" ht="15" hidden="false" customHeight="false" outlineLevel="0" collapsed="false">
      <c r="A48" s="14" t="s">
        <v>140</v>
      </c>
      <c r="B48" s="11" t="s">
        <v>141</v>
      </c>
      <c r="C48" s="32" t="n">
        <v>509.6</v>
      </c>
      <c r="D48" s="32" t="n">
        <v>681.6</v>
      </c>
      <c r="E48" s="32" t="n">
        <v>651</v>
      </c>
      <c r="F48" s="32" t="n">
        <v>939.6</v>
      </c>
      <c r="G48" s="32" t="n">
        <v>1057.6</v>
      </c>
      <c r="I48" s="17" t="n">
        <f aca="false">IFERROR((G48/C48)^(1/4)-1,"n/m")</f>
        <v>0.200253568085644</v>
      </c>
    </row>
    <row r="49" customFormat="false" ht="15" hidden="false" customHeight="false" outlineLevel="0" collapsed="false">
      <c r="A49" s="10" t="s">
        <v>134</v>
      </c>
      <c r="D49" s="17" t="n">
        <f aca="false">(D48-C48)/ABS(C48)</f>
        <v>0.337519623233909</v>
      </c>
      <c r="E49" s="17" t="n">
        <f aca="false">(E48-D48)/ABS(D48)</f>
        <v>-0.0448943661971831</v>
      </c>
      <c r="F49" s="17" t="n">
        <f aca="false">(F48-E48)/ABS(E48)</f>
        <v>0.44331797235023</v>
      </c>
      <c r="G49" s="17" t="n">
        <f aca="false">(G48-F48)/ABS(F48)</f>
        <v>0.125585355470413</v>
      </c>
    </row>
    <row r="50" customFormat="false" ht="15" hidden="false" customHeight="false" outlineLevel="0" collapsed="false">
      <c r="A50" s="10" t="s">
        <v>142</v>
      </c>
      <c r="C50" s="17" t="n">
        <f aca="false">C48/C10</f>
        <v>0.0797521049172118</v>
      </c>
      <c r="D50" s="17" t="n">
        <f aca="false">D48/D10</f>
        <v>0.0739350681751619</v>
      </c>
      <c r="E50" s="17" t="n">
        <f aca="false">E48/E10</f>
        <v>0.0622180594846701</v>
      </c>
      <c r="F50" s="17" t="n">
        <f aca="false">F48/F10</f>
        <v>0.0734269013159951</v>
      </c>
      <c r="G50" s="17" t="n">
        <f aca="false">G48/G10</f>
        <v>0.0714430468676115</v>
      </c>
    </row>
    <row r="51" customFormat="false" ht="15" hidden="false" customHeight="false" outlineLevel="0" collapsed="false">
      <c r="A51" s="10" t="s">
        <v>143</v>
      </c>
      <c r="B51" s="11" t="s">
        <v>141</v>
      </c>
      <c r="C51" s="12" t="n">
        <v>1957.8</v>
      </c>
      <c r="D51" s="12" t="n">
        <v>2591.4</v>
      </c>
      <c r="E51" s="12" t="n">
        <v>2451.7</v>
      </c>
      <c r="F51" s="12" t="n">
        <v>3642</v>
      </c>
      <c r="G51" s="12" t="n">
        <v>4079.6</v>
      </c>
      <c r="I51" s="17" t="n">
        <f aca="false">IFERROR((G51/C51)^(1/4)-1,"n/m")</f>
        <v>0.201468294566943</v>
      </c>
    </row>
    <row r="52" customFormat="false" ht="15" hidden="false" customHeight="false" outlineLevel="0" collapsed="false">
      <c r="A52" s="10" t="s">
        <v>134</v>
      </c>
      <c r="D52" s="17" t="n">
        <f aca="false">(D51-C51)/ABS(C51)</f>
        <v>0.323628562672387</v>
      </c>
      <c r="E52" s="17" t="n">
        <f aca="false">(E51-D51)/ABS(D51)</f>
        <v>-0.0539090838928765</v>
      </c>
      <c r="F52" s="17" t="n">
        <f aca="false">(F51-E51)/ABS(E51)</f>
        <v>0.485499857241914</v>
      </c>
      <c r="G52" s="17" t="n">
        <f aca="false">(G51-F51)/ABS(F51)</f>
        <v>0.120153761669412</v>
      </c>
    </row>
    <row r="53" customFormat="false" ht="15" hidden="false" customHeight="false" outlineLevel="0" collapsed="false">
      <c r="A53" s="10" t="s">
        <v>144</v>
      </c>
      <c r="B53" s="11" t="s">
        <v>141</v>
      </c>
      <c r="C53" s="31" t="s">
        <v>145</v>
      </c>
      <c r="D53" s="12" t="n">
        <v>-132.8</v>
      </c>
      <c r="E53" s="12" t="n">
        <v>-49.9</v>
      </c>
      <c r="F53" s="12" t="n">
        <v>10.3</v>
      </c>
      <c r="G53" s="12" t="n">
        <v>100</v>
      </c>
    </row>
    <row r="54" customFormat="false" ht="15" hidden="false" customHeight="false" outlineLevel="0" collapsed="false">
      <c r="A54" s="10" t="s">
        <v>146</v>
      </c>
      <c r="C54" s="17" t="str">
        <f aca="false">IFERROR(C53/C51,"n/m")</f>
        <v>n/m</v>
      </c>
      <c r="D54" s="17" t="n">
        <f aca="false">IFERROR(D53/D51,"n/m")</f>
        <v>-0.0512464305008876</v>
      </c>
      <c r="E54" s="17" t="n">
        <f aca="false">IFERROR(E53/E51,"n/m")</f>
        <v>-0.0203532242933475</v>
      </c>
      <c r="F54" s="17" t="n">
        <f aca="false">IFERROR(F53/F51,"n/m")</f>
        <v>0.0028281164195497</v>
      </c>
      <c r="G54" s="17" t="n">
        <f aca="false">IFERROR(G53/G51,"n/m")</f>
        <v>0.0245122070791254</v>
      </c>
    </row>
    <row r="56" customFormat="false" ht="15" hidden="false" customHeight="false" outlineLevel="0" collapsed="false">
      <c r="A56" s="23" t="s">
        <v>150</v>
      </c>
      <c r="B56" s="23"/>
      <c r="C56" s="23"/>
      <c r="D56" s="23"/>
      <c r="E56" s="23"/>
      <c r="F56" s="23"/>
      <c r="G56" s="23"/>
      <c r="H56" s="23"/>
      <c r="I56" s="23"/>
    </row>
    <row r="57" customFormat="false" ht="15" hidden="false" customHeight="false" outlineLevel="0" collapsed="false">
      <c r="A57" s="14" t="s">
        <v>140</v>
      </c>
      <c r="B57" s="11" t="s">
        <v>141</v>
      </c>
      <c r="C57" s="32" t="n">
        <v>985.3</v>
      </c>
      <c r="D57" s="32" t="n">
        <v>1734.7</v>
      </c>
      <c r="E57" s="32" t="n">
        <v>2126.1</v>
      </c>
      <c r="F57" s="32" t="n">
        <v>2709.8</v>
      </c>
      <c r="G57" s="32" t="n">
        <v>3189</v>
      </c>
      <c r="I57" s="17" t="n">
        <f aca="false">IFERROR((G57/C57)^(1/4)-1,"n/m")</f>
        <v>0.341286363064846</v>
      </c>
    </row>
    <row r="58" customFormat="false" ht="15" hidden="false" customHeight="false" outlineLevel="0" collapsed="false">
      <c r="A58" s="10" t="s">
        <v>134</v>
      </c>
      <c r="D58" s="17" t="n">
        <f aca="false">(D57-C57)/ABS(C57)</f>
        <v>0.760580533847559</v>
      </c>
      <c r="E58" s="17" t="n">
        <f aca="false">(E57-D57)/ABS(D57)</f>
        <v>0.225629791894852</v>
      </c>
      <c r="F58" s="17" t="n">
        <f aca="false">(F57-E57)/ABS(E57)</f>
        <v>0.27454023799445</v>
      </c>
      <c r="G58" s="17" t="n">
        <f aca="false">(G57-F57)/ABS(F57)</f>
        <v>0.176839619160086</v>
      </c>
    </row>
    <row r="59" customFormat="false" ht="15" hidden="false" customHeight="false" outlineLevel="0" collapsed="false">
      <c r="A59" s="10" t="s">
        <v>142</v>
      </c>
      <c r="C59" s="17" t="n">
        <f aca="false">C57/C10</f>
        <v>0.154198879464146</v>
      </c>
      <c r="D59" s="17" t="n">
        <f aca="false">D57/D10</f>
        <v>0.188167785744503</v>
      </c>
      <c r="E59" s="17" t="n">
        <f aca="false">E57/E10</f>
        <v>0.203197874455234</v>
      </c>
      <c r="F59" s="17" t="n">
        <f aca="false">F57/F10</f>
        <v>0.211762683254665</v>
      </c>
      <c r="G59" s="17" t="n">
        <f aca="false">G57/G10</f>
        <v>0.215423483794264</v>
      </c>
    </row>
    <row r="60" customFormat="false" ht="15" hidden="false" customHeight="false" outlineLevel="0" collapsed="false">
      <c r="A60" s="10" t="s">
        <v>143</v>
      </c>
      <c r="B60" s="11" t="s">
        <v>141</v>
      </c>
      <c r="C60" s="12" t="n">
        <v>1051.5</v>
      </c>
      <c r="D60" s="12" t="n">
        <v>1866</v>
      </c>
      <c r="E60" s="12" t="n">
        <v>2224.4</v>
      </c>
      <c r="F60" s="12" t="n">
        <v>2904.7</v>
      </c>
      <c r="G60" s="12" t="n">
        <v>3432.3</v>
      </c>
      <c r="I60" s="17" t="n">
        <f aca="false">IFERROR((G60/C60)^(1/4)-1,"n/m")</f>
        <v>0.344138407484584</v>
      </c>
    </row>
    <row r="61" customFormat="false" ht="15" hidden="false" customHeight="false" outlineLevel="0" collapsed="false">
      <c r="A61" s="10" t="s">
        <v>134</v>
      </c>
      <c r="D61" s="17" t="n">
        <f aca="false">(D60-C60)/ABS(C60)</f>
        <v>0.774607703281027</v>
      </c>
      <c r="E61" s="17" t="n">
        <f aca="false">(E60-D60)/ABS(D60)</f>
        <v>0.192068595927117</v>
      </c>
      <c r="F61" s="17" t="n">
        <f aca="false">(F60-E60)/ABS(E60)</f>
        <v>0.305835281424204</v>
      </c>
      <c r="G61" s="17" t="n">
        <f aca="false">(G60-F60)/ABS(F60)</f>
        <v>0.181636657830413</v>
      </c>
    </row>
    <row r="62" customFormat="false" ht="15" hidden="false" customHeight="false" outlineLevel="0" collapsed="false">
      <c r="A62" s="10" t="s">
        <v>144</v>
      </c>
      <c r="B62" s="11" t="s">
        <v>141</v>
      </c>
      <c r="C62" s="31" t="s">
        <v>145</v>
      </c>
      <c r="D62" s="12" t="n">
        <v>-363.5</v>
      </c>
      <c r="E62" s="12" t="n">
        <v>-217.9</v>
      </c>
      <c r="F62" s="12" t="n">
        <v>-98.7</v>
      </c>
      <c r="G62" s="12" t="n">
        <v>2.9</v>
      </c>
    </row>
    <row r="63" customFormat="false" ht="15" hidden="false" customHeight="false" outlineLevel="0" collapsed="false">
      <c r="A63" s="10" t="s">
        <v>146</v>
      </c>
      <c r="C63" s="17" t="str">
        <f aca="false">IFERROR(C62/C60,"n/m")</f>
        <v>n/m</v>
      </c>
      <c r="D63" s="17" t="n">
        <f aca="false">IFERROR(D62/D60,"n/m")</f>
        <v>-0.194801714898178</v>
      </c>
      <c r="E63" s="17" t="n">
        <f aca="false">IFERROR(E62/E60,"n/m")</f>
        <v>-0.0979590001798238</v>
      </c>
      <c r="F63" s="17" t="n">
        <f aca="false">IFERROR(F62/F60,"n/m")</f>
        <v>-0.0339794126760079</v>
      </c>
      <c r="G63" s="17" t="n">
        <f aca="false">IFERROR(G62/G60,"n/m")</f>
        <v>0.000844914488826734</v>
      </c>
    </row>
    <row r="65" customFormat="false" ht="25.5" hidden="false" customHeight="true" outlineLevel="0" collapsed="false">
      <c r="A65" s="33" t="s">
        <v>151</v>
      </c>
      <c r="B65" s="33"/>
      <c r="C65" s="33"/>
      <c r="D65" s="33"/>
      <c r="E65" s="33"/>
      <c r="F65" s="33"/>
      <c r="G65" s="33"/>
      <c r="H65" s="33"/>
      <c r="I65" s="33"/>
    </row>
    <row r="67" customFormat="false" ht="15" hidden="false" customHeight="false" outlineLevel="0" collapsed="false">
      <c r="A67" s="23" t="s">
        <v>152</v>
      </c>
      <c r="B67" s="23"/>
      <c r="C67" s="23"/>
      <c r="D67" s="23"/>
      <c r="E67" s="23"/>
      <c r="F67" s="23"/>
      <c r="G67" s="23"/>
      <c r="H67" s="23"/>
      <c r="I67" s="23"/>
    </row>
    <row r="68" customFormat="false" ht="15" hidden="false" customHeight="false" outlineLevel="0" collapsed="false">
      <c r="A68" s="10" t="s">
        <v>153</v>
      </c>
      <c r="C68" s="34" t="s">
        <v>154</v>
      </c>
      <c r="D68" s="34"/>
      <c r="E68" s="34"/>
      <c r="F68" s="34"/>
    </row>
    <row r="69" customFormat="false" ht="15" hidden="false" customHeight="false" outlineLevel="0" collapsed="false">
      <c r="A69" s="10" t="s">
        <v>155</v>
      </c>
      <c r="C69" s="34" t="s">
        <v>156</v>
      </c>
      <c r="D69" s="34"/>
      <c r="E69" s="34"/>
      <c r="F69" s="34"/>
    </row>
    <row r="70" customFormat="false" ht="15" hidden="false" customHeight="false" outlineLevel="0" collapsed="false">
      <c r="A70" s="10" t="s">
        <v>157</v>
      </c>
      <c r="C70" s="34" t="s">
        <v>158</v>
      </c>
      <c r="D70" s="34"/>
      <c r="E70" s="34"/>
      <c r="F70" s="34"/>
    </row>
    <row r="71" customFormat="false" ht="15" hidden="false" customHeight="false" outlineLevel="0" collapsed="false">
      <c r="A71" s="10" t="s">
        <v>159</v>
      </c>
      <c r="C71" s="34" t="s">
        <v>160</v>
      </c>
      <c r="D71" s="34"/>
      <c r="E71" s="34"/>
      <c r="F71" s="34"/>
    </row>
  </sheetData>
  <mergeCells count="14">
    <mergeCell ref="A1:I1"/>
    <mergeCell ref="A2:I2"/>
    <mergeCell ref="A6:I6"/>
    <mergeCell ref="A20:I20"/>
    <mergeCell ref="A29:I29"/>
    <mergeCell ref="A38:I38"/>
    <mergeCell ref="A47:I47"/>
    <mergeCell ref="A56:I56"/>
    <mergeCell ref="A65:I65"/>
    <mergeCell ref="A67:I67"/>
    <mergeCell ref="C68:F68"/>
    <mergeCell ref="C69:F69"/>
    <mergeCell ref="C70:F70"/>
    <mergeCell ref="C71:F7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57575"/>
    <pageSetUpPr fitToPage="false"/>
  </sheetPr>
  <dimension ref="A1:B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95"/>
  </cols>
  <sheetData>
    <row r="1" customFormat="false" ht="19.7" hidden="false" customHeight="false" outlineLevel="0" collapsed="false">
      <c r="A1" s="1" t="s">
        <v>161</v>
      </c>
      <c r="B1" s="1"/>
    </row>
    <row r="2" customFormat="false" ht="15" hidden="false" customHeight="false" outlineLevel="0" collapsed="false">
      <c r="A2" s="35"/>
      <c r="B2" s="35"/>
    </row>
    <row r="3" customFormat="false" ht="15" hidden="false" customHeight="false" outlineLevel="0" collapsed="false">
      <c r="A3" s="23" t="s">
        <v>162</v>
      </c>
      <c r="B3" s="23"/>
    </row>
    <row r="4" customFormat="false" ht="27.75" hidden="false" customHeight="true" outlineLevel="0" collapsed="false">
      <c r="A4" s="36" t="s">
        <v>163</v>
      </c>
      <c r="B4" s="5" t="s">
        <v>164</v>
      </c>
    </row>
    <row r="5" customFormat="false" ht="27.75" hidden="false" customHeight="true" outlineLevel="0" collapsed="false">
      <c r="A5" s="36" t="s">
        <v>165</v>
      </c>
      <c r="B5" s="5" t="s">
        <v>166</v>
      </c>
    </row>
    <row r="6" customFormat="false" ht="27.75" hidden="false" customHeight="true" outlineLevel="0" collapsed="false">
      <c r="A6" s="36" t="s">
        <v>167</v>
      </c>
      <c r="B6" s="5" t="s">
        <v>168</v>
      </c>
    </row>
    <row r="7" customFormat="false" ht="27.75" hidden="false" customHeight="true" outlineLevel="0" collapsed="false">
      <c r="A7" s="36" t="s">
        <v>169</v>
      </c>
      <c r="B7" s="5" t="s">
        <v>170</v>
      </c>
    </row>
    <row r="8" customFormat="false" ht="27.75" hidden="false" customHeight="true" outlineLevel="0" collapsed="false">
      <c r="A8" s="36" t="s">
        <v>171</v>
      </c>
      <c r="B8" s="5" t="s">
        <v>172</v>
      </c>
    </row>
    <row r="9" customFormat="false" ht="27.75" hidden="false" customHeight="true" outlineLevel="0" collapsed="false">
      <c r="A9" s="36" t="s">
        <v>173</v>
      </c>
      <c r="B9" s="5" t="s">
        <v>174</v>
      </c>
    </row>
    <row r="10" customFormat="false" ht="42" hidden="false" customHeight="true" outlineLevel="0" collapsed="false">
      <c r="A10" s="36" t="s">
        <v>175</v>
      </c>
      <c r="B10" s="5" t="s">
        <v>176</v>
      </c>
    </row>
    <row r="11" customFormat="false" ht="15" hidden="false" customHeight="false" outlineLevel="0" collapsed="false">
      <c r="A11" s="35"/>
      <c r="B11" s="35"/>
    </row>
    <row r="12" customFormat="false" ht="15" hidden="false" customHeight="false" outlineLevel="0" collapsed="false">
      <c r="A12" s="23" t="s">
        <v>177</v>
      </c>
      <c r="B12" s="23"/>
    </row>
    <row r="13" customFormat="false" ht="84" hidden="false" customHeight="true" outlineLevel="0" collapsed="false">
      <c r="A13" s="36" t="s">
        <v>178</v>
      </c>
      <c r="B13" s="5" t="s">
        <v>179</v>
      </c>
    </row>
    <row r="14" customFormat="false" ht="84" hidden="false" customHeight="true" outlineLevel="0" collapsed="false">
      <c r="A14" s="36" t="s">
        <v>180</v>
      </c>
      <c r="B14" s="5" t="s">
        <v>181</v>
      </c>
    </row>
    <row r="15" customFormat="false" ht="42" hidden="false" customHeight="true" outlineLevel="0" collapsed="false">
      <c r="A15" s="36" t="s">
        <v>182</v>
      </c>
      <c r="B15" s="5" t="s">
        <v>183</v>
      </c>
    </row>
    <row r="16" customFormat="false" ht="27.75" hidden="false" customHeight="true" outlineLevel="0" collapsed="false">
      <c r="A16" s="36" t="s">
        <v>184</v>
      </c>
      <c r="B16" s="5" t="s">
        <v>185</v>
      </c>
    </row>
    <row r="17" customFormat="false" ht="15" hidden="false" customHeight="false" outlineLevel="0" collapsed="false">
      <c r="A17" s="35"/>
      <c r="B17" s="35"/>
    </row>
    <row r="18" customFormat="false" ht="15" hidden="false" customHeight="false" outlineLevel="0" collapsed="false">
      <c r="A18" s="23" t="s">
        <v>186</v>
      </c>
      <c r="B18" s="23"/>
    </row>
    <row r="19" customFormat="false" ht="55.5" hidden="false" customHeight="true" outlineLevel="0" collapsed="false">
      <c r="A19" s="36" t="s">
        <v>187</v>
      </c>
      <c r="B19" s="5" t="s">
        <v>188</v>
      </c>
    </row>
    <row r="20" customFormat="false" ht="84" hidden="false" customHeight="true" outlineLevel="0" collapsed="false">
      <c r="A20" s="36" t="s">
        <v>189</v>
      </c>
      <c r="B20" s="5" t="s">
        <v>190</v>
      </c>
    </row>
    <row r="21" customFormat="false" ht="69.75" hidden="false" customHeight="true" outlineLevel="0" collapsed="false">
      <c r="A21" s="36" t="s">
        <v>191</v>
      </c>
      <c r="B21" s="5" t="s">
        <v>192</v>
      </c>
    </row>
    <row r="22" customFormat="false" ht="69.75" hidden="false" customHeight="true" outlineLevel="0" collapsed="false">
      <c r="A22" s="36" t="s">
        <v>193</v>
      </c>
      <c r="B22" s="5" t="s">
        <v>194</v>
      </c>
    </row>
    <row r="23" customFormat="false" ht="42" hidden="false" customHeight="true" outlineLevel="0" collapsed="false">
      <c r="A23" s="36" t="s">
        <v>195</v>
      </c>
      <c r="B23" s="5" t="s">
        <v>196</v>
      </c>
    </row>
    <row r="24" customFormat="false" ht="55.5" hidden="false" customHeight="true" outlineLevel="0" collapsed="false">
      <c r="A24" s="36" t="s">
        <v>197</v>
      </c>
      <c r="B24" s="5" t="s">
        <v>198</v>
      </c>
    </row>
    <row r="25" customFormat="false" ht="84" hidden="false" customHeight="true" outlineLevel="0" collapsed="false">
      <c r="A25" s="36" t="s">
        <v>199</v>
      </c>
      <c r="B25" s="5" t="s">
        <v>200</v>
      </c>
    </row>
    <row r="26" customFormat="false" ht="15" hidden="false" customHeight="false" outlineLevel="0" collapsed="false">
      <c r="A26" s="35"/>
      <c r="B26" s="35"/>
    </row>
    <row r="27" customFormat="false" ht="15" hidden="false" customHeight="false" outlineLevel="0" collapsed="false">
      <c r="A27" s="23" t="s">
        <v>201</v>
      </c>
      <c r="B27" s="23"/>
    </row>
    <row r="28" customFormat="false" ht="42" hidden="false" customHeight="true" outlineLevel="0" collapsed="false">
      <c r="A28" s="36" t="s">
        <v>202</v>
      </c>
      <c r="B28" s="5" t="s">
        <v>203</v>
      </c>
    </row>
    <row r="29" customFormat="false" ht="27.75" hidden="false" customHeight="true" outlineLevel="0" collapsed="false">
      <c r="A29" s="36" t="s">
        <v>204</v>
      </c>
      <c r="B29" s="5" t="s">
        <v>205</v>
      </c>
    </row>
    <row r="30" customFormat="false" ht="27.75" hidden="false" customHeight="true" outlineLevel="0" collapsed="false">
      <c r="A30" s="36" t="s">
        <v>206</v>
      </c>
      <c r="B30" s="5" t="s">
        <v>207</v>
      </c>
    </row>
  </sheetData>
  <mergeCells count="5">
    <mergeCell ref="A1:B1"/>
    <mergeCell ref="A3:B3"/>
    <mergeCell ref="A12:B12"/>
    <mergeCell ref="A18:B18"/>
    <mergeCell ref="A27:B2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2026-08-17T15:39:16Z</dcterms:created>
  <dc:creator>openpyxl</dc:creator>
  <dc:description/>
  <dc:language>en-US</dc:language>
  <cp:lastModifiedBy/>
  <dcterms:modified xsi:type="dcterms:W3CDTF">2026-08-17T15:39:16Z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