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 Statement" sheetId="1" state="visible" r:id="rId3"/>
    <sheet name="Growth &amp; KPIs" sheetId="2" state="visible" r:id="rId4"/>
    <sheet name="Segment Detail" sheetId="3" state="visible" r:id="rId5"/>
    <sheet name="Notes &amp; 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A6" authorId="0">
      <text>
        <r>
          <rPr>
            <sz val="10"/>
            <rFont val="Arial"/>
            <family val="2"/>
          </rPr>
          <t xml:space="preserve">Back-solved as Gross profit − Revenue, using reported figures for both. Delivery Hero does not separately break this out in press summaries.</t>
        </r>
      </text>
    </comment>
    <comment ref="A10" authorId="0">
      <text>
        <r>
          <rPr>
            <sz val="10"/>
            <rFont val="Arial"/>
            <family val="2"/>
          </rPr>
          <t xml:space="preserve">Back-solved as Operating income − Gross profit, using reported figures for both.</t>
        </r>
      </text>
    </comment>
    <comment ref="A14" authorId="0">
      <text>
        <r>
          <rPr>
            <sz val="10"/>
            <rFont val="Arial"/>
            <family val="2"/>
          </rPr>
          <t xml:space="preserve">Back-solved as Net income − Operating income, using reported figures for both.</t>
        </r>
      </text>
    </comment>
    <comment ref="A19" authorId="0">
      <text>
        <r>
          <rPr>
            <sz val="10"/>
            <rFont val="Arial"/>
            <family val="2"/>
          </rPr>
          <t xml:space="preserve">Implied as Net income ÷ Diluted EPS, both reported.</t>
        </r>
      </text>
    </comment>
    <comment ref="A26" authorId="0">
      <text>
        <r>
          <rPr>
            <sz val="10"/>
            <rFont val="Arial"/>
            <family val="2"/>
          </rPr>
          <t xml:space="preserve">Shown as an absolute € change, not %, because operating income/loss changes sign across the series.</t>
        </r>
      </text>
    </comment>
    <comment ref="A27" authorId="0">
      <text>
        <r>
          <rPr>
            <sz val="10"/>
            <rFont val="Arial"/>
            <family val="2"/>
          </rPr>
          <t xml:space="preserve">Shown as an absolute € change, not %, because net income is a loss throughout the series.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A7" authorId="0">
      <text>
        <r>
          <rPr>
            <sz val="10"/>
            <rFont val="Arial"/>
            <family val="2"/>
          </rPr>
          <t xml:space="preserve">Company-guided basis, excludes FX and portfolio changes (e.g. FY24/FY25 Asia divestitures). Not disclosed for FY21-FY23 on this basis.</t>
        </r>
      </text>
    </comment>
    <comment ref="A11" authorId="0">
      <text>
        <r>
          <rPr>
            <sz val="10"/>
            <rFont val="Arial"/>
            <family val="2"/>
          </rPr>
          <t xml:space="preserve">Company-guided basis, excludes FX and portfolio changes. Not disclosed for FY21-FY23 on this basis.</t>
        </r>
      </text>
    </comment>
    <comment ref="A13" authorId="0">
      <text>
        <r>
          <rPr>
            <sz val="10"/>
            <rFont val="Arial"/>
            <family val="2"/>
          </rPr>
          <t xml:space="preserve">FY21-FY22: derived as GMV × disclosed Adj. EBITDA/GMV margin. FY23-FY25: as reported.</t>
        </r>
      </text>
    </comment>
    <comment ref="A15" authorId="0">
      <text>
        <r>
          <rPr>
            <sz val="10"/>
            <rFont val="Arial"/>
            <family val="2"/>
          </rPr>
          <t xml:space="preserve">Shown as an absolute € change, not %, because Adjusted EBITDA changes sign across the series.</t>
        </r>
      </text>
    </comment>
    <comment ref="D9" authorId="0">
      <text>
        <r>
          <rPr>
            <sz val="10"/>
            <rFont val="Arial"/>
            <family val="2"/>
          </rPr>
          <t xml:space="preserve">FY2023 absolute TSR not separately confirmed from a primary source; derived from Delivery Hero's disclosed FY2024 TSR CC/LFL growth of 22.6% vs FY2023.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A13" authorId="0">
      <text>
        <r>
          <rPr>
            <sz val="10"/>
            <rFont val="Arial"/>
            <family val="2"/>
          </rPr>
          <t xml:space="preserve">Back-solved as Group total minus the sum of the five reporting regions; reflects inter-segment eliminations / reconciling items not broken out in headline disclosures.</t>
        </r>
      </text>
    </comment>
    <comment ref="A24" authorId="0">
      <text>
        <r>
          <rPr>
            <sz val="10"/>
            <rFont val="Arial"/>
            <family val="2"/>
          </rPr>
          <t xml:space="preserve">Back-solved as Group total minus the sum of the five reporting regions; reflects inter-segment eliminations / reconciling items not broken out in headline disclosures.</t>
        </r>
      </text>
    </comment>
  </commentList>
</comments>
</file>

<file path=xl/sharedStrings.xml><?xml version="1.0" encoding="utf-8"?>
<sst xmlns="http://schemas.openxmlformats.org/spreadsheetml/2006/main" count="112" uniqueCount="77">
  <si>
    <t xml:space="preserve">Delivery Hero SE — Consolidated Income Statement (IFRS)</t>
  </si>
  <si>
    <t xml:space="preserve">€ millions unless noted · fiscal year ended 31 December · reported (as-filed) basis · blue = sourced input, black = formula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</si>
  <si>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</si>
  <si>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</si>
  <si>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</si>
  <si>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</si>
  <si>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</si>
  <si>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Δ YoY 24→25</t>
  </si>
  <si>
    <t xml:space="preserve">CAGR 21–25</t>
  </si>
  <si>
    <t xml:space="preserve">Revenue</t>
  </si>
  <si>
    <t xml:space="preserve">Cost of revenue &amp; direct costs (derived)</t>
  </si>
  <si>
    <t xml:space="preserve">Gross profit</t>
  </si>
  <si>
    <t xml:space="preserve">Gross margin (%)</t>
  </si>
  <si>
    <t xml:space="preserve">SG&amp;A, marketing, D&amp;A &amp; other opex (derived)</t>
  </si>
  <si>
    <t xml:space="preserve">Operating income / (EBIT)</t>
  </si>
  <si>
    <t xml:space="preserve">n/m</t>
  </si>
  <si>
    <t xml:space="preserve">Operating margin (%)</t>
  </si>
  <si>
    <t xml:space="preserve">Net finance costs, income tax &amp; non-controlling interests (derived)</t>
  </si>
  <si>
    <t xml:space="preserve">Net income / (loss) for the period</t>
  </si>
  <si>
    <t xml:space="preserve">Net margin (%)</t>
  </si>
  <si>
    <t xml:space="preserve">Diluted EPS (€)</t>
  </si>
  <si>
    <t xml:space="preserve">Diluted weighted-avg. shares outstanding (m, implied)</t>
  </si>
  <si>
    <t xml:space="preserve">Year-over-year growth detail</t>
  </si>
  <si>
    <t xml:space="preserve">Revenue growth (% YoY)</t>
  </si>
  <si>
    <t xml:space="preserve">n/a</t>
  </si>
  <si>
    <t xml:space="preserve">Gross profit growth (% YoY)</t>
  </si>
  <si>
    <t xml:space="preserve">Operating income change (€m YoY)</t>
  </si>
  <si>
    <t xml:space="preserve">Net income change (€m YoY)</t>
  </si>
  <si>
    <t xml:space="preserve">Delivery Hero — Key Growth KPIs (Segment Reporting Basis)</t>
  </si>
  <si>
    <t xml:space="preserve">€ millions unless noted · GMV = Gross Merchandise Value · TSR = Total Segment Revenue (non-IFRS) · blue = sourced input, black = formula</t>
  </si>
  <si>
    <t xml:space="preserve">GMV</t>
  </si>
  <si>
    <t xml:space="preserve">GMV growth (% YoY, reported/nominal)</t>
  </si>
  <si>
    <t xml:space="preserve">GMV growth (% YoY, constant-currency &amp; like-for-like, as guided)</t>
  </si>
  <si>
    <t xml:space="preserve">n/d</t>
  </si>
  <si>
    <t xml:space="preserve">Total Segment Revenue (TSR)</t>
  </si>
  <si>
    <t xml:space="preserve">TSR growth (% YoY, reported/nominal)</t>
  </si>
  <si>
    <t xml:space="preserve">TSR growth (% YoY, constant-currency &amp; like-for-like, as guided)</t>
  </si>
  <si>
    <t xml:space="preserve">Adjusted EBITDA</t>
  </si>
  <si>
    <t xml:space="preserve">Adjusted EBITDA margin (% of GMV)</t>
  </si>
  <si>
    <t xml:space="preserve">Adjusted EBITDA change (€m YoY)</t>
  </si>
  <si>
    <t xml:space="preserve">Delivery Hero — Revenue &amp; GMV Growth by Region, FY2025 vs FY2024</t>
  </si>
  <si>
    <t xml:space="preserve">€ millions · Total Segment Revenue and GMV are non-IFRS segment measures · blue = sourced input, black = formula</t>
  </si>
  <si>
    <t xml:space="preserve">GMV by Region</t>
  </si>
  <si>
    <t xml:space="preserve">YoY growth %</t>
  </si>
  <si>
    <t xml:space="preserve">% of Group FY2025</t>
  </si>
  <si>
    <t xml:space="preserve">Asia</t>
  </si>
  <si>
    <t xml:space="preserve">MENA</t>
  </si>
  <si>
    <t xml:space="preserve">Europe</t>
  </si>
  <si>
    <t xml:space="preserve">Americas</t>
  </si>
  <si>
    <t xml:space="preserve">Integrated Verticals</t>
  </si>
  <si>
    <t xml:space="preserve">Subtotal, 5 reporting regions</t>
  </si>
  <si>
    <t xml:space="preserve">Group GMV (as reported)</t>
  </si>
  <si>
    <t xml:space="preserve">Eliminations &amp; other adjustments (derived plug)</t>
  </si>
  <si>
    <t xml:space="preserve">Total Segment Revenue by Region</t>
  </si>
  <si>
    <t xml:space="preserve">Group Total Segment Revenue (as reported)</t>
  </si>
  <si>
    <t xml:space="preserve">Notes, Definitions &amp; Sources</t>
  </si>
  <si>
    <t xml:space="preserve">COLOR KEY</t>
  </si>
  <si>
    <t xml:space="preserve">Blue text = figure sourced directly from a Delivery Hero disclosure (press release, trading update, or aggregated financial data provider).</t>
  </si>
  <si>
    <t xml:space="preserve">Black text = formula calculated within this workbook (margins, growth rates, and clearly-labeled derived/back-solved line items).</t>
  </si>
  <si>
    <t xml:space="preserve">DEFINITIONS</t>
  </si>
  <si>
    <t xml:space="preserve">GMV (Gross Merchandise Value): total value of orders processed across the platform, a non-IFRS operating KPI disclosed by Delivery Hero.</t>
  </si>
  <si>
    <t xml:space="preserve">TSR (Total Segment Revenue): non-IFRS segment measure disclosed by Delivery Hero that differs from IFRS consolidated Revenue (e.g. treatment of equity-accounted JVs/associates); it is the basis management uses for regional segment reporting and full-year growth guidance.</t>
  </si>
  <si>
    <t xml:space="preserve">CC &amp; LFL: constant-currency and like-for-like, i.e. growth excluding FX translation effects and excluding the impact of acquisitions/divestitures (portfolio changes) during the period.</t>
  </si>
  <si>
    <t xml:space="preserve">Adjusted EBITDA: Delivery Hero's non-IFRS profitability measure, excluding share-based compensation, M&amp;A and other one-off items; the company's primary internal profitability KPI.</t>
  </si>
  <si>
    <t xml:space="preserve">n/m = not meaningful (e.g. % growth on a metric that changes sign year over year). n/d = not disclosed by the company on that basis for that period.</t>
  </si>
  <si>
    <t xml:space="preserve">KEY CONTEXT ON GROWTH (FY2024-FY2025)</t>
  </si>
  <si>
    <t xml:space="preserve">Reported/nominal GMV and TSR growth are materially lower than the company's guided constant-currency &amp; like-for-like growth rates. This gap is driven mainly by portfolio changes — most notably the divestiture of several Delivery Hero businesses in Asia (e.g. exits from certain Foodpanda markets) — which mechanically reduce reported Asia GMV/revenue (Asia GMV fell from ~€23.4bn in FY2024 to ~€20.8bn in FY2025) even as the underlying, continuing business grew at a high-single/low-double-digit rate on a like-for-like basis. When reading 'growth' for Delivery Hero, always check whether a figure is reported (nominal) or CC &amp; LFL.</t>
  </si>
  <si>
    <t xml:space="preserve">Delivery Hero turned Operating income (EBIT) positive for the first time in FY2025 (€93.7m, from a €261.2m loss in FY2024), while Net income remained a loss (€782.9m) — the gap between the two lines reflects net finance costs (incl. bond interest), taxes and non-controlling interests, shown as a derived bridge row on the Income Statement tab.</t>
  </si>
  <si>
    <t xml:space="preserve">SOURCES (retrieved 2026-08-17)</t>
  </si>
  <si>
    <t xml:space="preserve">Consolidated IFRS Revenue / Gross profit / Operating income / Net income / diluted EPS, FY2021-FY2025 — stockanalysis.com, Delivery Hero (ETR:DHER) financial statements; FY2024 net-loss figure and YoY change cross-checked against ad-hoc-news.de coverage of FY2024 results.</t>
  </si>
  <si>
    <t xml:space="preserve">GMV / Total Segment Revenue FY2021 — Delivery Hero newsroom, Q4 2021 trading update (deliveryhero.com/newsroom/delivery-hero-trading-update-q4-2021).</t>
  </si>
  <si>
    <t xml:space="preserve">GMV / Total Segment Revenue FY2022 and Adj. EBITDA/GMV margin FY2021-FY2022 — Delivery Hero newsroom, FY2022 results (deliveryhero.com/newsroom/delivery-hero-concludes-fy2022) as summarized in subsequent coverage.</t>
  </si>
  <si>
    <t xml:space="preserve">GMV FY2023 and Adj. EBITDA FY2023 (€253.6m) — CNBC coverage of Delivery Hero unaudited FY2023 results (2024-02-05); Delivery Hero newsroom Q3 2023 trading update.</t>
  </si>
  <si>
    <t xml:space="preserve">GMV, TSR, Adjusted EBITDA, and regional segment splits for FY2024 and FY2025, plus CC &amp; LFL growth guidance — Delivery Hero newsroom: 'Delivery Hero reports adj. EBITDA up 30% in 2025, as Quick Commerce and key markets gain momentum' and 'Q2 and H1 2025 financial results' releases (deliveryhero.com/newsroom).</t>
  </si>
  <si>
    <t xml:space="preserve">FY2025 Adjusted EBITDA (€903m) — Investing.com, 'Delivery Hero posts record 2025 profit, takes $1.4bln loan to repay bonds'.</t>
  </si>
  <si>
    <t xml:space="preserve">LIMITATIONS</t>
  </si>
  <si>
    <t xml:space="preserve">This model summarizes headline, publicly reported figures; it is not a substitute for Delivery Hero's audited consolidated financial statements and notes (available in its Annual Report). FY2023 Total Segment Revenue on the Growth &amp; KPIs tab is derived (back-solved) from the disclosed FY2024 YoY growth rate rather than an independently confirmed absolute figure — see the cell comment on that tab. Cost of revenue and operating expense lines on the Income Statement tab are back-solved bridges between reported subtotals, not independently disclosed line items.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</si>
</sst>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;\(#,##0.0\)"/>
    <numFmt numFmtId="166" formatCode="0.0%;\(0.0%\)"/>
    <numFmt numFmtId="167" formatCode="#,##0.00;\(#,##0.00\)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sz val="10"/>
      <name val="Arial"/>
      <family val="2"/>
    </font>
    <font>
      <sz val="1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6" min="2" style="0" width="12"/>
    <col collapsed="false" customWidth="true" hidden="false" outlineLevel="0" max="8" min="7" style="0" width="1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.75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customFormat="false" ht="15" hidden="false" customHeight="false" outlineLevel="0" collapsed="false">
      <c r="A5" s="4" t="s">
        <v>9</v>
      </c>
      <c r="B5" s="5" t="n">
        <v>5856</v>
      </c>
      <c r="C5" s="5" t="n">
        <v>8577</v>
      </c>
      <c r="D5" s="5" t="n">
        <v>9942</v>
      </c>
      <c r="E5" s="5" t="n">
        <v>12295</v>
      </c>
      <c r="F5" s="5" t="n">
        <v>14060</v>
      </c>
      <c r="G5" s="6" t="n">
        <f aca="false">F5-E5</f>
        <v>1765</v>
      </c>
      <c r="H5" s="7" t="n">
        <f aca="false">(F5/B5)^(1/4)-1</f>
        <v>0.244789920881372</v>
      </c>
    </row>
    <row r="6" customFormat="false" ht="15" hidden="false" customHeight="false" outlineLevel="0" collapsed="false">
      <c r="A6" s="8" t="s">
        <v>10</v>
      </c>
      <c r="B6" s="9" t="n">
        <f aca="false">B7-B5</f>
        <v>-4598</v>
      </c>
      <c r="C6" s="9" t="n">
        <f aca="false">C7-C5</f>
        <v>-6345</v>
      </c>
      <c r="D6" s="9" t="n">
        <f aca="false">D7-D5</f>
        <v>-6969</v>
      </c>
      <c r="E6" s="9" t="n">
        <f aca="false">E7-E5</f>
        <v>-8966</v>
      </c>
      <c r="F6" s="9" t="n">
        <f aca="false">F7-F5</f>
        <v>-10627</v>
      </c>
      <c r="G6" s="9" t="n">
        <f aca="false">F6-E6</f>
        <v>-1661</v>
      </c>
    </row>
    <row r="7" customFormat="false" ht="15" hidden="false" customHeight="false" outlineLevel="0" collapsed="false">
      <c r="A7" s="4" t="s">
        <v>11</v>
      </c>
      <c r="B7" s="5" t="n">
        <v>1258</v>
      </c>
      <c r="C7" s="5" t="n">
        <v>2232</v>
      </c>
      <c r="D7" s="5" t="n">
        <v>2973</v>
      </c>
      <c r="E7" s="5" t="n">
        <v>3329</v>
      </c>
      <c r="F7" s="5" t="n">
        <v>3433</v>
      </c>
      <c r="G7" s="6" t="n">
        <f aca="false">F7-E7</f>
        <v>104</v>
      </c>
      <c r="H7" s="7" t="n">
        <f aca="false">(F7/B7)^(1/4)-1</f>
        <v>0.285281600953427</v>
      </c>
    </row>
    <row r="8" customFormat="false" ht="15" hidden="false" customHeight="false" outlineLevel="0" collapsed="false">
      <c r="A8" s="8" t="s">
        <v>12</v>
      </c>
      <c r="B8" s="10" t="n">
        <f aca="false">B7/B5</f>
        <v>0.214822404371585</v>
      </c>
      <c r="C8" s="10" t="n">
        <f aca="false">C7/C5</f>
        <v>0.260230849947534</v>
      </c>
      <c r="D8" s="10" t="n">
        <f aca="false">D7/D5</f>
        <v>0.2990343995172</v>
      </c>
      <c r="E8" s="10" t="n">
        <f aca="false">E7/E5</f>
        <v>0.270760471736478</v>
      </c>
      <c r="F8" s="10" t="n">
        <f aca="false">F7/F5</f>
        <v>0.244167852062589</v>
      </c>
    </row>
    <row r="10" customFormat="false" ht="15" hidden="false" customHeight="false" outlineLevel="0" collapsed="false">
      <c r="A10" s="8" t="s">
        <v>13</v>
      </c>
      <c r="B10" s="9" t="n">
        <f aca="false">B11-B7</f>
        <v>-2917</v>
      </c>
      <c r="C10" s="9" t="n">
        <f aca="false">C11-C7</f>
        <v>-3669</v>
      </c>
      <c r="D10" s="9" t="n">
        <f aca="false">D11-D7</f>
        <v>-3680.4</v>
      </c>
      <c r="E10" s="9" t="n">
        <f aca="false">E11-E7</f>
        <v>-3590.2</v>
      </c>
      <c r="F10" s="9" t="n">
        <f aca="false">F11-F7</f>
        <v>-3339.3</v>
      </c>
      <c r="G10" s="9" t="n">
        <f aca="false">F10-E10</f>
        <v>250.9</v>
      </c>
    </row>
    <row r="11" customFormat="false" ht="15" hidden="false" customHeight="false" outlineLevel="0" collapsed="false">
      <c r="A11" s="4" t="s">
        <v>14</v>
      </c>
      <c r="B11" s="5" t="n">
        <v>-1659</v>
      </c>
      <c r="C11" s="5" t="n">
        <v>-1437</v>
      </c>
      <c r="D11" s="5" t="n">
        <v>-707.4</v>
      </c>
      <c r="E11" s="5" t="n">
        <v>-261.2</v>
      </c>
      <c r="F11" s="5" t="n">
        <v>93.7</v>
      </c>
      <c r="G11" s="6" t="n">
        <f aca="false">F11-E11</f>
        <v>354.9</v>
      </c>
      <c r="H11" s="11" t="s">
        <v>15</v>
      </c>
    </row>
    <row r="12" customFormat="false" ht="15" hidden="false" customHeight="false" outlineLevel="0" collapsed="false">
      <c r="A12" s="8" t="s">
        <v>16</v>
      </c>
      <c r="B12" s="10" t="n">
        <f aca="false">B11/B5</f>
        <v>-0.283299180327869</v>
      </c>
      <c r="C12" s="10" t="n">
        <f aca="false">C11/C5</f>
        <v>-0.167541098286114</v>
      </c>
      <c r="D12" s="10" t="n">
        <f aca="false">D11/D5</f>
        <v>-0.0711526855763428</v>
      </c>
      <c r="E12" s="10" t="n">
        <f aca="false">E11/E5</f>
        <v>-0.0212444082960553</v>
      </c>
      <c r="F12" s="10" t="n">
        <f aca="false">F11/F5</f>
        <v>0.00666429587482219</v>
      </c>
    </row>
    <row r="14" customFormat="false" ht="15" hidden="false" customHeight="false" outlineLevel="0" collapsed="false">
      <c r="A14" s="8" t="s">
        <v>17</v>
      </c>
      <c r="B14" s="9" t="n">
        <f aca="false">B15-B11</f>
        <v>535</v>
      </c>
      <c r="C14" s="9" t="n">
        <f aca="false">C15-C11</f>
        <v>-1571</v>
      </c>
      <c r="D14" s="9" t="n">
        <f aca="false">D15-D11</f>
        <v>-1590.6</v>
      </c>
      <c r="E14" s="9" t="n">
        <f aca="false">E15-E11</f>
        <v>-621.2</v>
      </c>
      <c r="F14" s="9" t="n">
        <f aca="false">F15-F11</f>
        <v>-876.6</v>
      </c>
      <c r="G14" s="9" t="n">
        <f aca="false">F14-E14</f>
        <v>-255.4</v>
      </c>
    </row>
    <row r="15" customFormat="false" ht="15" hidden="false" customHeight="false" outlineLevel="0" collapsed="false">
      <c r="A15" s="4" t="s">
        <v>18</v>
      </c>
      <c r="B15" s="12" t="n">
        <v>-1124</v>
      </c>
      <c r="C15" s="12" t="n">
        <v>-3008</v>
      </c>
      <c r="D15" s="12" t="n">
        <v>-2298</v>
      </c>
      <c r="E15" s="12" t="n">
        <v>-882.4</v>
      </c>
      <c r="F15" s="12" t="n">
        <v>-782.9</v>
      </c>
      <c r="G15" s="13" t="n">
        <f aca="false">F15-E15</f>
        <v>99.5</v>
      </c>
      <c r="H15" s="11" t="s">
        <v>15</v>
      </c>
    </row>
    <row r="16" customFormat="false" ht="15" hidden="false" customHeight="false" outlineLevel="0" collapsed="false">
      <c r="A16" s="8" t="s">
        <v>19</v>
      </c>
      <c r="B16" s="10" t="n">
        <f aca="false">B15/B5</f>
        <v>-0.191939890710383</v>
      </c>
      <c r="C16" s="10" t="n">
        <f aca="false">C15/C5</f>
        <v>-0.350705374839688</v>
      </c>
      <c r="D16" s="10" t="n">
        <f aca="false">D15/D5</f>
        <v>-0.231140615570308</v>
      </c>
      <c r="E16" s="10" t="n">
        <f aca="false">E15/E5</f>
        <v>-0.071769011793412</v>
      </c>
      <c r="F16" s="10" t="n">
        <f aca="false">F15/F5</f>
        <v>-0.0556827880512091</v>
      </c>
    </row>
    <row r="18" customFormat="false" ht="15" hidden="false" customHeight="false" outlineLevel="0" collapsed="false">
      <c r="A18" s="14" t="s">
        <v>20</v>
      </c>
      <c r="B18" s="15" t="n">
        <v>-4.57</v>
      </c>
      <c r="C18" s="15" t="n">
        <v>-11.28</v>
      </c>
      <c r="D18" s="15" t="n">
        <v>-8.57</v>
      </c>
      <c r="E18" s="15" t="n">
        <v>-3.1</v>
      </c>
      <c r="F18" s="15" t="n">
        <v>-2.62</v>
      </c>
      <c r="G18" s="16" t="n">
        <f aca="false">F18-E18</f>
        <v>0.48</v>
      </c>
    </row>
    <row r="19" customFormat="false" ht="15" hidden="false" customHeight="false" outlineLevel="0" collapsed="false">
      <c r="A19" s="8" t="s">
        <v>21</v>
      </c>
      <c r="B19" s="9" t="n">
        <f aca="false">B15/B18</f>
        <v>245.951859956236</v>
      </c>
      <c r="C19" s="9" t="n">
        <f aca="false">C15/C18</f>
        <v>266.666666666667</v>
      </c>
      <c r="D19" s="9" t="n">
        <f aca="false">D15/D18</f>
        <v>268.144690781797</v>
      </c>
      <c r="E19" s="9" t="n">
        <f aca="false">E15/E18</f>
        <v>284.645161290323</v>
      </c>
      <c r="F19" s="9" t="n">
        <f aca="false">F15/F18</f>
        <v>298.81679389313</v>
      </c>
    </row>
    <row r="22" customFormat="false" ht="15" hidden="false" customHeight="false" outlineLevel="0" collapsed="false">
      <c r="A22" s="17" t="s">
        <v>22</v>
      </c>
    </row>
    <row r="23" customFormat="false" ht="15.75" hidden="false" customHeight="true" outlineLevel="0" collapsed="false"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</row>
    <row r="24" customFormat="false" ht="15" hidden="false" customHeight="false" outlineLevel="0" collapsed="false">
      <c r="A24" s="8" t="s">
        <v>23</v>
      </c>
      <c r="B24" s="18" t="s">
        <v>24</v>
      </c>
      <c r="C24" s="10" t="n">
        <f aca="false">C5/B5-1</f>
        <v>0.464651639344262</v>
      </c>
      <c r="D24" s="10" t="n">
        <f aca="false">D5/C5-1</f>
        <v>0.159146554739419</v>
      </c>
      <c r="E24" s="10" t="n">
        <f aca="false">E5/D5-1</f>
        <v>0.236672701669684</v>
      </c>
      <c r="F24" s="10" t="n">
        <f aca="false">F5/E5-1</f>
        <v>0.143554290361936</v>
      </c>
    </row>
    <row r="25" customFormat="false" ht="15" hidden="false" customHeight="false" outlineLevel="0" collapsed="false">
      <c r="A25" s="8" t="s">
        <v>25</v>
      </c>
      <c r="B25" s="18" t="s">
        <v>24</v>
      </c>
      <c r="C25" s="10" t="n">
        <f aca="false">C7/B7-1</f>
        <v>0.774244833068362</v>
      </c>
      <c r="D25" s="10" t="n">
        <f aca="false">D7/C7-1</f>
        <v>0.331989247311828</v>
      </c>
      <c r="E25" s="10" t="n">
        <f aca="false">E7/D7-1</f>
        <v>0.119744365960309</v>
      </c>
      <c r="F25" s="10" t="n">
        <f aca="false">F7/E7-1</f>
        <v>0.0312406127966356</v>
      </c>
    </row>
    <row r="26" customFormat="false" ht="15" hidden="false" customHeight="false" outlineLevel="0" collapsed="false">
      <c r="A26" s="8" t="s">
        <v>26</v>
      </c>
      <c r="B26" s="11" t="s">
        <v>24</v>
      </c>
      <c r="C26" s="9" t="n">
        <f aca="false">C11-B11</f>
        <v>222</v>
      </c>
      <c r="D26" s="9" t="n">
        <f aca="false">D11-C11</f>
        <v>729.6</v>
      </c>
      <c r="E26" s="9" t="n">
        <f aca="false">E11-D11</f>
        <v>446.2</v>
      </c>
      <c r="F26" s="9" t="n">
        <f aca="false">F11-E11</f>
        <v>354.9</v>
      </c>
    </row>
    <row r="27" customFormat="false" ht="15" hidden="false" customHeight="false" outlineLevel="0" collapsed="false">
      <c r="A27" s="8" t="s">
        <v>27</v>
      </c>
      <c r="B27" s="11" t="s">
        <v>24</v>
      </c>
      <c r="C27" s="9" t="n">
        <f aca="false">C15-B15</f>
        <v>-1884</v>
      </c>
      <c r="D27" s="9" t="n">
        <f aca="false">D15-C15</f>
        <v>710</v>
      </c>
      <c r="E27" s="9" t="n">
        <f aca="false">E15-D15</f>
        <v>1415.6</v>
      </c>
      <c r="F27" s="9" t="n">
        <f aca="false">F15-E15</f>
        <v>99.5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6" min="2" style="0" width="12"/>
  </cols>
  <sheetData>
    <row r="1" customFormat="false" ht="19.5" hidden="false" customHeight="true" outlineLevel="0" collapsed="false">
      <c r="A1" s="1" t="s">
        <v>28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</row>
    <row r="4" customFormat="false" ht="15.75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customFormat="false" ht="15" hidden="false" customHeight="false" outlineLevel="0" collapsed="false">
      <c r="A5" s="4" t="s">
        <v>30</v>
      </c>
      <c r="B5" s="5" t="n">
        <v>35400</v>
      </c>
      <c r="C5" s="5" t="n">
        <v>44600</v>
      </c>
      <c r="D5" s="5" t="n">
        <v>47600</v>
      </c>
      <c r="E5" s="5" t="n">
        <v>48754</v>
      </c>
      <c r="F5" s="5" t="n">
        <v>49196.8</v>
      </c>
    </row>
    <row r="6" customFormat="false" ht="15" hidden="false" customHeight="false" outlineLevel="0" collapsed="false">
      <c r="A6" s="8" t="s">
        <v>31</v>
      </c>
      <c r="B6" s="18" t="s">
        <v>24</v>
      </c>
      <c r="C6" s="10" t="n">
        <f aca="false">C5/B5-1</f>
        <v>0.259887005649718</v>
      </c>
      <c r="D6" s="10" t="n">
        <f aca="false">D5/C5-1</f>
        <v>0.0672645739910314</v>
      </c>
      <c r="E6" s="10" t="n">
        <f aca="false">E5/D5-1</f>
        <v>0.0242436974789917</v>
      </c>
      <c r="F6" s="10" t="n">
        <f aca="false">F5/E5-1</f>
        <v>0.00908233170611639</v>
      </c>
    </row>
    <row r="7" customFormat="false" ht="15" hidden="false" customHeight="false" outlineLevel="0" collapsed="false">
      <c r="A7" s="8" t="s">
        <v>32</v>
      </c>
      <c r="B7" s="18" t="s">
        <v>33</v>
      </c>
      <c r="C7" s="18" t="s">
        <v>33</v>
      </c>
      <c r="D7" s="18" t="s">
        <v>33</v>
      </c>
      <c r="E7" s="19" t="n">
        <v>0.095</v>
      </c>
      <c r="F7" s="19" t="n">
        <v>0.09</v>
      </c>
    </row>
    <row r="9" customFormat="false" ht="15" hidden="false" customHeight="false" outlineLevel="0" collapsed="false">
      <c r="A9" s="4" t="s">
        <v>34</v>
      </c>
      <c r="B9" s="5" t="n">
        <v>6600</v>
      </c>
      <c r="C9" s="5" t="n">
        <v>9600</v>
      </c>
      <c r="D9" s="6" t="n">
        <f aca="false">E9/1.226</f>
        <v>10437.5203915171</v>
      </c>
      <c r="E9" s="5" t="n">
        <v>12796.4</v>
      </c>
      <c r="F9" s="5" t="n">
        <v>14803.4</v>
      </c>
    </row>
    <row r="10" customFormat="false" ht="15" hidden="false" customHeight="false" outlineLevel="0" collapsed="false">
      <c r="A10" s="8" t="s">
        <v>35</v>
      </c>
      <c r="B10" s="18" t="s">
        <v>24</v>
      </c>
      <c r="C10" s="10" t="n">
        <f aca="false">C9/B9-1</f>
        <v>0.454545454545455</v>
      </c>
      <c r="D10" s="10" t="n">
        <f aca="false">D9/C9-1</f>
        <v>0.0872417074497009</v>
      </c>
      <c r="E10" s="10" t="n">
        <f aca="false">E9/D9-1</f>
        <v>0.226</v>
      </c>
      <c r="F10" s="10" t="n">
        <f aca="false">F9/E9-1</f>
        <v>0.156840986527461</v>
      </c>
    </row>
    <row r="11" customFormat="false" ht="15" hidden="false" customHeight="false" outlineLevel="0" collapsed="false">
      <c r="A11" s="8" t="s">
        <v>36</v>
      </c>
      <c r="B11" s="18" t="s">
        <v>33</v>
      </c>
      <c r="C11" s="18" t="s">
        <v>33</v>
      </c>
      <c r="D11" s="18" t="s">
        <v>33</v>
      </c>
      <c r="E11" s="19" t="n">
        <v>0.226</v>
      </c>
      <c r="F11" s="19" t="n">
        <v>0.231</v>
      </c>
    </row>
    <row r="13" customFormat="false" ht="15" hidden="false" customHeight="false" outlineLevel="0" collapsed="false">
      <c r="A13" s="4" t="s">
        <v>37</v>
      </c>
      <c r="B13" s="6" t="n">
        <f aca="false">B5*B14</f>
        <v>-778.8</v>
      </c>
      <c r="C13" s="6" t="n">
        <f aca="false">C5*C14</f>
        <v>-624.4</v>
      </c>
      <c r="D13" s="5" t="n">
        <v>253.6</v>
      </c>
      <c r="E13" s="5" t="n">
        <v>692.5</v>
      </c>
      <c r="F13" s="5" t="n">
        <v>903</v>
      </c>
    </row>
    <row r="14" customFormat="false" ht="15" hidden="false" customHeight="false" outlineLevel="0" collapsed="false">
      <c r="A14" s="8" t="s">
        <v>38</v>
      </c>
      <c r="B14" s="19" t="n">
        <v>-0.022</v>
      </c>
      <c r="C14" s="19" t="n">
        <v>-0.014</v>
      </c>
      <c r="D14" s="10" t="n">
        <f aca="false">D13/D5</f>
        <v>0.00532773109243697</v>
      </c>
      <c r="E14" s="10" t="n">
        <f aca="false">E13/E5</f>
        <v>0.0142039627517742</v>
      </c>
      <c r="F14" s="10" t="n">
        <f aca="false">F13/F5</f>
        <v>0.0183548523481202</v>
      </c>
    </row>
    <row r="15" customFormat="false" ht="15" hidden="false" customHeight="false" outlineLevel="0" collapsed="false">
      <c r="A15" s="8" t="s">
        <v>39</v>
      </c>
      <c r="B15" s="11" t="s">
        <v>24</v>
      </c>
      <c r="C15" s="9" t="n">
        <f aca="false">C13-B13</f>
        <v>154.4</v>
      </c>
      <c r="D15" s="9" t="n">
        <f aca="false">D13-C13</f>
        <v>878</v>
      </c>
      <c r="E15" s="9" t="n">
        <f aca="false">E13-D13</f>
        <v>438.9</v>
      </c>
      <c r="F15" s="9" t="n">
        <f aca="false">F13-E13</f>
        <v>210.5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3"/>
    <col collapsed="false" customWidth="true" hidden="false" outlineLevel="0" max="5" min="5" style="0" width="15"/>
  </cols>
  <sheetData>
    <row r="1" customFormat="false" ht="19.5" hidden="false" customHeight="true" outlineLevel="0" collapsed="false">
      <c r="A1" s="1" t="s">
        <v>40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</row>
    <row r="4" customFormat="false" ht="15" hidden="false" customHeight="false" outlineLevel="0" collapsed="false">
      <c r="A4" s="17" t="s">
        <v>42</v>
      </c>
    </row>
    <row r="5" customFormat="false" ht="15.75" hidden="false" customHeight="true" outlineLevel="0" collapsed="false">
      <c r="B5" s="3" t="s">
        <v>5</v>
      </c>
      <c r="C5" s="3" t="s">
        <v>6</v>
      </c>
      <c r="D5" s="3" t="s">
        <v>43</v>
      </c>
      <c r="E5" s="3" t="s">
        <v>44</v>
      </c>
    </row>
    <row r="6" customFormat="false" ht="15" hidden="false" customHeight="false" outlineLevel="0" collapsed="false">
      <c r="A6" s="8" t="s">
        <v>45</v>
      </c>
      <c r="B6" s="20" t="n">
        <v>23407.4</v>
      </c>
      <c r="C6" s="20" t="n">
        <v>20779.7</v>
      </c>
      <c r="D6" s="10" t="n">
        <f aca="false">C6/B6-1</f>
        <v>-0.112259370968155</v>
      </c>
      <c r="E6" s="10" t="n">
        <f aca="false">C6/C12</f>
        <v>0.422379097827501</v>
      </c>
    </row>
    <row r="7" customFormat="false" ht="15" hidden="false" customHeight="false" outlineLevel="0" collapsed="false">
      <c r="A7" s="8" t="s">
        <v>46</v>
      </c>
      <c r="B7" s="20" t="n">
        <v>12825.9</v>
      </c>
      <c r="C7" s="20" t="n">
        <v>14644.3</v>
      </c>
      <c r="D7" s="10" t="n">
        <f aca="false">C7/B7-1</f>
        <v>0.141775625882004</v>
      </c>
      <c r="E7" s="10" t="n">
        <f aca="false">C7/C12</f>
        <v>0.297667734486796</v>
      </c>
    </row>
    <row r="8" customFormat="false" ht="15" hidden="false" customHeight="false" outlineLevel="0" collapsed="false">
      <c r="A8" s="8" t="s">
        <v>47</v>
      </c>
      <c r="B8" s="20" t="n">
        <v>8878.7</v>
      </c>
      <c r="C8" s="20" t="n">
        <v>9693.2</v>
      </c>
      <c r="D8" s="10" t="n">
        <f aca="false">C8/B8-1</f>
        <v>0.0917364028517689</v>
      </c>
      <c r="E8" s="10" t="n">
        <f aca="false">C8/C12</f>
        <v>0.197029075061793</v>
      </c>
    </row>
    <row r="9" customFormat="false" ht="15" hidden="false" customHeight="false" outlineLevel="0" collapsed="false">
      <c r="A9" s="8" t="s">
        <v>48</v>
      </c>
      <c r="B9" s="20" t="n">
        <v>3642</v>
      </c>
      <c r="C9" s="20" t="n">
        <v>4079.6</v>
      </c>
      <c r="D9" s="10" t="n">
        <f aca="false">C9/B9-1</f>
        <v>0.120153761669412</v>
      </c>
      <c r="E9" s="10" t="n">
        <f aca="false">C9/C12</f>
        <v>0.0829240926239105</v>
      </c>
    </row>
    <row r="10" customFormat="false" ht="15" hidden="false" customHeight="false" outlineLevel="0" collapsed="false">
      <c r="A10" s="8" t="s">
        <v>49</v>
      </c>
      <c r="B10" s="20" t="n">
        <v>2904.7</v>
      </c>
      <c r="C10" s="20" t="n">
        <v>3432.3</v>
      </c>
      <c r="D10" s="10" t="n">
        <f aca="false">C10/B10-1</f>
        <v>0.181636657830413</v>
      </c>
      <c r="E10" s="10" t="n">
        <f aca="false">C10/C12</f>
        <v>0.069766732795629</v>
      </c>
    </row>
    <row r="11" customFormat="false" ht="15" hidden="false" customHeight="false" outlineLevel="0" collapsed="false">
      <c r="A11" s="4" t="s">
        <v>50</v>
      </c>
      <c r="B11" s="13" t="n">
        <f aca="false">SUM(B6:B10)</f>
        <v>51658.7</v>
      </c>
      <c r="C11" s="13" t="n">
        <f aca="false">SUM(C6:C10)</f>
        <v>52629.1</v>
      </c>
      <c r="D11" s="21" t="n">
        <f aca="false">C11/B11-1</f>
        <v>0.0187848319837702</v>
      </c>
      <c r="E11" s="10" t="n">
        <f aca="false">C11/C12</f>
        <v>1.06976673279563</v>
      </c>
    </row>
    <row r="12" customFormat="false" ht="15" hidden="false" customHeight="false" outlineLevel="0" collapsed="false">
      <c r="A12" s="4" t="s">
        <v>51</v>
      </c>
      <c r="B12" s="5" t="n">
        <v>48754</v>
      </c>
      <c r="C12" s="5" t="n">
        <v>49196.8</v>
      </c>
      <c r="D12" s="7" t="n">
        <f aca="false">C12/B12-1</f>
        <v>0.00908233170611639</v>
      </c>
      <c r="E12" s="10" t="n">
        <f aca="false">C12/C12</f>
        <v>1</v>
      </c>
    </row>
    <row r="13" customFormat="false" ht="15" hidden="false" customHeight="false" outlineLevel="0" collapsed="false">
      <c r="A13" s="8" t="s">
        <v>52</v>
      </c>
      <c r="B13" s="9" t="n">
        <f aca="false">B12-B11</f>
        <v>-2904.7</v>
      </c>
      <c r="C13" s="9" t="n">
        <f aca="false">C12-C11</f>
        <v>-3432.3</v>
      </c>
      <c r="E13" s="10" t="n">
        <f aca="false">C13/C12</f>
        <v>-0.0697667327956289</v>
      </c>
    </row>
    <row r="15" customFormat="false" ht="15" hidden="false" customHeight="false" outlineLevel="0" collapsed="false">
      <c r="A15" s="17" t="s">
        <v>53</v>
      </c>
    </row>
    <row r="16" customFormat="false" ht="15.75" hidden="false" customHeight="true" outlineLevel="0" collapsed="false">
      <c r="B16" s="3" t="s">
        <v>5</v>
      </c>
      <c r="C16" s="3" t="s">
        <v>6</v>
      </c>
      <c r="D16" s="3" t="s">
        <v>43</v>
      </c>
      <c r="E16" s="3" t="s">
        <v>44</v>
      </c>
    </row>
    <row r="17" customFormat="false" ht="15" hidden="false" customHeight="false" outlineLevel="0" collapsed="false">
      <c r="A17" s="8" t="s">
        <v>45</v>
      </c>
      <c r="B17" s="20" t="n">
        <v>4071.9</v>
      </c>
      <c r="C17" s="20" t="n">
        <v>4417.7</v>
      </c>
      <c r="D17" s="10" t="n">
        <f aca="false">C17/B17-1</f>
        <v>0.084923500085955</v>
      </c>
      <c r="E17" s="10" t="n">
        <f aca="false">C17/C23</f>
        <v>0.298424686220733</v>
      </c>
    </row>
    <row r="18" customFormat="false" ht="15" hidden="false" customHeight="false" outlineLevel="0" collapsed="false">
      <c r="A18" s="8" t="s">
        <v>46</v>
      </c>
      <c r="B18" s="20" t="n">
        <v>3527.8</v>
      </c>
      <c r="C18" s="20" t="n">
        <v>4033.7</v>
      </c>
      <c r="D18" s="10" t="n">
        <f aca="false">C18/B18-1</f>
        <v>0.143403821078292</v>
      </c>
      <c r="E18" s="10" t="n">
        <f aca="false">C18/C23</f>
        <v>0.272484699460935</v>
      </c>
    </row>
    <row r="19" customFormat="false" ht="15" hidden="false" customHeight="false" outlineLevel="0" collapsed="false">
      <c r="A19" s="8" t="s">
        <v>47</v>
      </c>
      <c r="B19" s="20" t="n">
        <v>1891.9</v>
      </c>
      <c r="C19" s="20" t="n">
        <v>2486.3</v>
      </c>
      <c r="D19" s="10" t="n">
        <f aca="false">C19/B19-1</f>
        <v>0.314181510650669</v>
      </c>
      <c r="E19" s="10" t="n">
        <f aca="false">C19/C23</f>
        <v>0.167954659064809</v>
      </c>
    </row>
    <row r="20" customFormat="false" ht="15" hidden="false" customHeight="false" outlineLevel="0" collapsed="false">
      <c r="A20" s="8" t="s">
        <v>48</v>
      </c>
      <c r="B20" s="20" t="n">
        <v>939.6</v>
      </c>
      <c r="C20" s="20" t="n">
        <v>1057.6</v>
      </c>
      <c r="D20" s="10" t="n">
        <f aca="false">C20/B20-1</f>
        <v>0.125585355470413</v>
      </c>
      <c r="E20" s="10" t="n">
        <f aca="false">C20/C23</f>
        <v>0.0714430468676115</v>
      </c>
    </row>
    <row r="21" customFormat="false" ht="15" hidden="false" customHeight="false" outlineLevel="0" collapsed="false">
      <c r="A21" s="8" t="s">
        <v>49</v>
      </c>
      <c r="B21" s="20" t="n">
        <v>2709.8</v>
      </c>
      <c r="C21" s="20" t="n">
        <v>3189</v>
      </c>
      <c r="D21" s="10" t="n">
        <f aca="false">C21/B21-1</f>
        <v>0.176839619160086</v>
      </c>
      <c r="E21" s="10" t="n">
        <f aca="false">C21/C23</f>
        <v>0.215423483794264</v>
      </c>
    </row>
    <row r="22" customFormat="false" ht="15" hidden="false" customHeight="false" outlineLevel="0" collapsed="false">
      <c r="A22" s="4" t="s">
        <v>50</v>
      </c>
      <c r="B22" s="13" t="n">
        <f aca="false">SUM(B17:B21)</f>
        <v>13141</v>
      </c>
      <c r="C22" s="13" t="n">
        <f aca="false">SUM(C17:C21)</f>
        <v>15184.3</v>
      </c>
      <c r="D22" s="21" t="n">
        <f aca="false">C22/B22-1</f>
        <v>0.155490449737463</v>
      </c>
      <c r="E22" s="10" t="n">
        <f aca="false">C22/C23</f>
        <v>1.02573057540835</v>
      </c>
    </row>
    <row r="23" customFormat="false" ht="15" hidden="false" customHeight="false" outlineLevel="0" collapsed="false">
      <c r="A23" s="4" t="s">
        <v>54</v>
      </c>
      <c r="B23" s="5" t="n">
        <v>12796.4</v>
      </c>
      <c r="C23" s="5" t="n">
        <v>14803.4</v>
      </c>
      <c r="D23" s="7" t="n">
        <f aca="false">C23/B23-1</f>
        <v>0.156840986527461</v>
      </c>
      <c r="E23" s="10" t="n">
        <f aca="false">C23/C23</f>
        <v>1</v>
      </c>
    </row>
    <row r="24" customFormat="false" ht="15" hidden="false" customHeight="false" outlineLevel="0" collapsed="false">
      <c r="A24" s="8" t="s">
        <v>52</v>
      </c>
      <c r="B24" s="9" t="n">
        <f aca="false">B23-B22</f>
        <v>-344.6</v>
      </c>
      <c r="C24" s="9" t="n">
        <f aca="false">C23-C22</f>
        <v>-380.9</v>
      </c>
      <c r="E24" s="10" t="n">
        <f aca="false">C24/C23</f>
        <v>-0.0257305754083521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5"/>
  </cols>
  <sheetData>
    <row r="1" customFormat="false" ht="19.5" hidden="false" customHeight="true" outlineLevel="0" collapsed="false">
      <c r="A1" s="22" t="s">
        <v>55</v>
      </c>
    </row>
    <row r="2" customFormat="false" ht="13.5" hidden="false" customHeight="true" outlineLevel="0" collapsed="false">
      <c r="A2" s="23"/>
    </row>
    <row r="3" customFormat="false" ht="13.5" hidden="false" customHeight="true" outlineLevel="0" collapsed="false">
      <c r="A3" s="24" t="s">
        <v>56</v>
      </c>
    </row>
    <row r="4" customFormat="false" ht="27.75" hidden="false" customHeight="true" outlineLevel="0" collapsed="false">
      <c r="A4" s="23" t="s">
        <v>57</v>
      </c>
    </row>
    <row r="5" customFormat="false" ht="27.75" hidden="false" customHeight="true" outlineLevel="0" collapsed="false">
      <c r="A5" s="23" t="s">
        <v>58</v>
      </c>
    </row>
    <row r="6" customFormat="false" ht="13.5" hidden="false" customHeight="true" outlineLevel="0" collapsed="false">
      <c r="A6" s="23"/>
    </row>
    <row r="7" customFormat="false" ht="13.5" hidden="false" customHeight="true" outlineLevel="0" collapsed="false">
      <c r="A7" s="24" t="s">
        <v>59</v>
      </c>
    </row>
    <row r="8" customFormat="false" ht="27.75" hidden="false" customHeight="true" outlineLevel="0" collapsed="false">
      <c r="A8" s="23" t="s">
        <v>60</v>
      </c>
    </row>
    <row r="9" customFormat="false" ht="42" hidden="false" customHeight="true" outlineLevel="0" collapsed="false">
      <c r="A9" s="23" t="s">
        <v>61</v>
      </c>
    </row>
    <row r="10" customFormat="false" ht="27.75" hidden="false" customHeight="true" outlineLevel="0" collapsed="false">
      <c r="A10" s="23" t="s">
        <v>62</v>
      </c>
    </row>
    <row r="11" customFormat="false" ht="27.75" hidden="false" customHeight="true" outlineLevel="0" collapsed="false">
      <c r="A11" s="23" t="s">
        <v>63</v>
      </c>
    </row>
    <row r="12" customFormat="false" ht="27.75" hidden="false" customHeight="true" outlineLevel="0" collapsed="false">
      <c r="A12" s="23" t="s">
        <v>64</v>
      </c>
    </row>
    <row r="13" customFormat="false" ht="13.5" hidden="false" customHeight="true" outlineLevel="0" collapsed="false">
      <c r="A13" s="23"/>
    </row>
    <row r="14" customFormat="false" ht="13.5" hidden="false" customHeight="true" outlineLevel="0" collapsed="false">
      <c r="A14" s="24" t="s">
        <v>65</v>
      </c>
    </row>
    <row r="15" customFormat="false" ht="97.5" hidden="false" customHeight="true" outlineLevel="0" collapsed="false">
      <c r="A15" s="23" t="s">
        <v>66</v>
      </c>
    </row>
    <row r="16" customFormat="false" ht="55.5" hidden="false" customHeight="true" outlineLevel="0" collapsed="false">
      <c r="A16" s="23" t="s">
        <v>67</v>
      </c>
    </row>
    <row r="17" customFormat="false" ht="13.5" hidden="false" customHeight="true" outlineLevel="0" collapsed="false">
      <c r="A17" s="23"/>
    </row>
    <row r="18" customFormat="false" ht="13.5" hidden="false" customHeight="true" outlineLevel="0" collapsed="false">
      <c r="A18" s="23" t="s">
        <v>68</v>
      </c>
    </row>
    <row r="19" customFormat="false" ht="42" hidden="false" customHeight="true" outlineLevel="0" collapsed="false">
      <c r="A19" s="23" t="s">
        <v>69</v>
      </c>
    </row>
    <row r="20" customFormat="false" ht="27.75" hidden="false" customHeight="true" outlineLevel="0" collapsed="false">
      <c r="A20" s="23" t="s">
        <v>70</v>
      </c>
    </row>
    <row r="21" customFormat="false" ht="42" hidden="false" customHeight="true" outlineLevel="0" collapsed="false">
      <c r="A21" s="23" t="s">
        <v>71</v>
      </c>
    </row>
    <row r="22" customFormat="false" ht="27.75" hidden="false" customHeight="true" outlineLevel="0" collapsed="false">
      <c r="A22" s="23" t="s">
        <v>72</v>
      </c>
    </row>
    <row r="23" customFormat="false" ht="55.5" hidden="false" customHeight="true" outlineLevel="0" collapsed="false">
      <c r="A23" s="23" t="s">
        <v>73</v>
      </c>
    </row>
    <row r="24" customFormat="false" ht="27.75" hidden="false" customHeight="true" outlineLevel="0" collapsed="false">
      <c r="A24" s="23" t="s">
        <v>74</v>
      </c>
    </row>
    <row r="25" customFormat="false" ht="13.5" hidden="false" customHeight="true" outlineLevel="0" collapsed="false">
      <c r="A25" s="23"/>
    </row>
    <row r="26" customFormat="false" ht="13.5" hidden="false" customHeight="true" outlineLevel="0" collapsed="false">
      <c r="A26" s="24" t="s">
        <v>75</v>
      </c>
    </row>
    <row r="27" customFormat="false" ht="84" hidden="false" customHeight="true" outlineLevel="0" collapsed="false">
      <c r="A27" s="23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2026-08-17T17:35:16Z</dcterms:created>
  <dc:creator>openpyxl</dc:creator>
  <dc:description/>
  <dc:language>en-US</dc:language>
  <cp:lastModifiedBy/>
  <dcterms:modified xsi:type="dcterms:W3CDTF">2026-08-17T17:35:16Z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