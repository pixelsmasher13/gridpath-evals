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style1.xml" ContentType="application/vnd.ms-office.chartstyle+xml"/>
  <Override PartName="/xl/charts/chart3.xml" ContentType="application/vnd.openxmlformats-officedocument.drawingml.chart+xml"/>
  <Override PartName="/xl/charts/chart1.xml" ContentType="application/vnd.openxmlformats-officedocument.drawingml.chart+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hart5.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style5.xml" ContentType="application/vnd.ms-office.chartstyle+xml"/>
  <Override PartName="/xl/charts/colors4.xml" ContentType="application/vnd.ms-office.chartcolorstyle+xml"/>
  <Override PartName="/xl/charts/style4.xml" ContentType="application/vnd.ms-office.chartstyle+xml"/>
  <Override PartName="/xl/charts/colors2.xml" ContentType="application/vnd.ms-office.chartcolor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amp; Growth" sheetId="1" state="visible" r:id="rId3"/>
    <sheet name="Segment Detail" sheetId="2" state="visible" r:id="rId4"/>
    <sheet name="Income Statement" sheetId="3" state="visible" r:id="rId5"/>
    <sheet name="Growth Outlook FY26E" sheetId="4" state="visible" r:id="rId6"/>
    <sheet name="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<sst xmlns="http://schemas.openxmlformats.org/spreadsheetml/2006/main" count="179" uniqueCount="126">
  <si>
    <t xml:space="preserve">Delivery Hero SE — Income Statement &amp; Growth Model</t>
  </si>
  <si>
    <t xml:space="preserve">FY2021–FY2025 | EUR million unless noted | Blue = reported input, Black = formula. See 'Sources' tab for citations.</t>
  </si>
  <si>
    <t xml:space="preserve">Metric</t>
  </si>
  <si>
    <t xml:space="preserve">FY2021</t>
  </si>
  <si>
    <t xml:space="preserve">FY2022</t>
  </si>
  <si>
    <t xml:space="preserve">FY2023</t>
  </si>
  <si>
    <t xml:space="preserve">FY2024</t>
  </si>
  <si>
    <t xml:space="preserve">FY2025</t>
  </si>
  <si>
    <t xml:space="preserve">CAGR
'21–'25</t>
  </si>
  <si>
    <t xml:space="preserve">Gross Merchandise Value (GMV)</t>
  </si>
  <si>
    <t xml:space="preserve">  YoY growth %</t>
  </si>
  <si>
    <t xml:space="preserve">  FY2025 GMV growth % (mgmt-reported, LfL)</t>
  </si>
  <si>
    <t xml:space="preserve">Total Segment Revenue (non-IFRS)</t>
  </si>
  <si>
    <t xml:space="preserve">  FY2025 Segment Revenue growth % (mgmt-reported, LfL)</t>
  </si>
  <si>
    <t xml:space="preserve">  Take rate (Segment Revenue / GMV)</t>
  </si>
  <si>
    <t xml:space="preserve">IFRS Revenue</t>
  </si>
  <si>
    <t xml:space="preserve">Gross Profit</t>
  </si>
  <si>
    <t xml:space="preserve">  Gross margin % (of Revenue)</t>
  </si>
  <si>
    <t xml:space="preserve">Adjusted EBITDA</t>
  </si>
  <si>
    <t xml:space="preserve">  Adj. EBITDA / GMV margin % (2021–22 reported basis)</t>
  </si>
  <si>
    <t xml:space="preserve">  FY2025 Adj. EBITDA growth % (reported: 'up 30%')</t>
  </si>
  <si>
    <t xml:space="preserve">  YoY € change (loss narrowing / turning positive)</t>
  </si>
  <si>
    <t xml:space="preserve">Net Result (attributable to shareholders)</t>
  </si>
  <si>
    <t xml:space="preserve">  Net margin % (of Revenue)</t>
  </si>
  <si>
    <t xml:space="preserve">Diluted EPS (EUR)</t>
  </si>
  <si>
    <t xml:space="preserve">Note: FY2021–22 GMV/Segment Revenue are rounded per company disclosure; FY2023–24 figures are exact, audited (Delivery Hero Annual Report 2024). FY2025 GMV/Segment Revenue/Adj. EBITDA are modeled from FY2024 actuals using management-reported FY2025 like-for-like growth rates (blue input cells above); FY2025 IFRS P&amp;L figures are reported actuals. See 'Sources' tab.</t>
  </si>
  <si>
    <t xml:space="preserve">Segment Detail — GMV, Segment Revenue &amp; Adjusted EBITDA by Region</t>
  </si>
  <si>
    <t xml:space="preserve">EUR million | Source: Delivery Hero Annual Report 2024, 'Key Figures' (audited, exact) | Blue = reported input, Black = formula</t>
  </si>
  <si>
    <t xml:space="preserve">Segment / Metric</t>
  </si>
  <si>
    <t xml:space="preserve">YoY Δ</t>
  </si>
  <si>
    <t xml:space="preserve">YoY %</t>
  </si>
  <si>
    <t xml:space="preserve">% of Grp
GMV FY24</t>
  </si>
  <si>
    <t xml:space="preserve">Europe</t>
  </si>
  <si>
    <t xml:space="preserve">GMV</t>
  </si>
  <si>
    <t xml:space="preserve">Segment Revenue</t>
  </si>
  <si>
    <t xml:space="preserve">  Adj. EBITDA / GMV margin %</t>
  </si>
  <si>
    <t xml:space="preserve">Americas</t>
  </si>
  <si>
    <t xml:space="preserve">Asia</t>
  </si>
  <si>
    <t xml:space="preserve">MENA</t>
  </si>
  <si>
    <t xml:space="preserve">Integrated Verticals</t>
  </si>
  <si>
    <t xml:space="preserve">GROUP TOTAL</t>
  </si>
  <si>
    <t xml:space="preserve">Total Segment Revenue</t>
  </si>
  <si>
    <t xml:space="preserve">Note: MENA's own delivery/platform GMV is included within the regional platform segments; Integrated Verticals GMV is shown for illustrative purposes only, so segment GMV above does not sum arithmetically to Group GMV in the official disclosure (per company note). Segment share of Group GMV (col G) is calculated on the four regional platform segments. All figures per Delivery Hero Annual Report 2024, 'Key Figures' page.</t>
  </si>
  <si>
    <t xml:space="preserve">Chart data (linked)</t>
  </si>
  <si>
    <t xml:space="preserve">Segment</t>
  </si>
  <si>
    <t xml:space="preserve">GMV FY23</t>
  </si>
  <si>
    <t xml:space="preserve">GMV FY24</t>
  </si>
  <si>
    <t xml:space="preserve">FY24 GMV mix (4 platform segments)</t>
  </si>
  <si>
    <t xml:space="preserve">Consolidated Statement of Profit or Loss (IFRS)</t>
  </si>
  <si>
    <t xml:space="preserve">EUR million | FY2023 &amp; FY2024: exact, audited (Delivery Hero Annual Report 2024) | FY2025: reported actuals (summary only)</t>
  </si>
  <si>
    <t xml:space="preserve">Line Item</t>
  </si>
  <si>
    <t xml:space="preserve">% Rev FY24</t>
  </si>
  <si>
    <t xml:space="preserve">Revenue</t>
  </si>
  <si>
    <t xml:space="preserve">Cost of sales</t>
  </si>
  <si>
    <t xml:space="preserve">Gross profit</t>
  </si>
  <si>
    <t xml:space="preserve">Marketing expenses</t>
  </si>
  <si>
    <t xml:space="preserve">IT expenses</t>
  </si>
  <si>
    <t xml:space="preserve">General &amp; administrative expenses</t>
  </si>
  <si>
    <t xml:space="preserve">Other operating income</t>
  </si>
  <si>
    <t xml:space="preserve">Other operating expenses and goodwill impairment</t>
  </si>
  <si>
    <t xml:space="preserve">Impairment losses on trade receivables and other assets</t>
  </si>
  <si>
    <t xml:space="preserve">Operating result</t>
  </si>
  <si>
    <t xml:space="preserve">  Operating margin % (of Revenue)</t>
  </si>
  <si>
    <t xml:space="preserve">Net interest result</t>
  </si>
  <si>
    <t xml:space="preserve">Other financial result</t>
  </si>
  <si>
    <t xml:space="preserve">Share of profit/loss of associates and JV</t>
  </si>
  <si>
    <t xml:space="preserve">Earnings before income taxes</t>
  </si>
  <si>
    <t xml:space="preserve">Income taxes</t>
  </si>
  <si>
    <t xml:space="preserve">Net result</t>
  </si>
  <si>
    <t xml:space="preserve">  Attributable to shareholders of the parent</t>
  </si>
  <si>
    <t xml:space="preserve">  Attributable to non-controlling interests</t>
  </si>
  <si>
    <t xml:space="preserve">Diluted / basic EPS (EUR)</t>
  </si>
  <si>
    <t xml:space="preserve">Memo: EBITDA reconciliation</t>
  </si>
  <si>
    <t xml:space="preserve">  Amortization &amp; depreciation (per cash flow statement)</t>
  </si>
  <si>
    <t xml:space="preserve">  Impairment of non-current assets (per cash flow statement)</t>
  </si>
  <si>
    <t xml:space="preserve">  IFRS EBITDA (Operating result + D&amp;A + impairment)</t>
  </si>
  <si>
    <t xml:space="preserve">  Adjusted EBITDA (company-defined, non-IFRS, per Segment Note)</t>
  </si>
  <si>
    <t xml:space="preserve">Note: 'Adjusted EBITDA' is Delivery Hero's non-IFRS performance measure disclosed in segment reporting; it differs from IFRS EBITDA primarily by excluding share-based payment expense, M&amp;A and other one-off items. Source: Delivery Hero Annual Report 2024, 'Consolidated Statement of Profit or Loss', Note G, and 'Consolidated Statement of Cash Flows'.</t>
  </si>
  <si>
    <t xml:space="preserve">Growth Drivers &amp; Illustrative FY2026E Outlook</t>
  </si>
  <si>
    <t xml:space="preserve">EUR million | Illustrative model projection — NOT company guidance. Edit blue assumption cells to flex the model.</t>
  </si>
  <si>
    <t xml:space="preserve">ASSUMPTIONS (editable inputs)</t>
  </si>
  <si>
    <t xml:space="preserve">GMV growth % FY26E (avg. of FY23–25 YoY growth)</t>
  </si>
  <si>
    <t xml:space="preserve">Take rate FY26E (Segment Revenue / GMV)</t>
  </si>
  <si>
    <t xml:space="preserve">Input: FY25E take rate + 1.5pp (continued AdTech/monetization gains)</t>
  </si>
  <si>
    <t xml:space="preserve">IFRS Revenue / Total Segment Revenue ratio</t>
  </si>
  <si>
    <t xml:space="preserve">Input: ~FY23–25 historical average (95.0–96.1%)</t>
  </si>
  <si>
    <t xml:space="preserve">Gross margin % (of Revenue)</t>
  </si>
  <si>
    <t xml:space="preserve">Input: ≈ FY25A actual (24.4%); quick-commerce/Dmart mix keeps COGS ratio above the FY24 level (27.1%)</t>
  </si>
  <si>
    <t xml:space="preserve">Marketing expense % of Revenue</t>
  </si>
  <si>
    <t xml:space="preserve">Input: FY24 (11.8%) trended down, continuing the operating-leverage trend implied by FY25A's swing to positive Operating result</t>
  </si>
  <si>
    <t xml:space="preserve">IT expense % of Revenue</t>
  </si>
  <si>
    <t xml:space="preserve">Input: FY24 (4.3%) trended down modestly</t>
  </si>
  <si>
    <t xml:space="preserve">G&amp;A expense % of Revenue</t>
  </si>
  <si>
    <t xml:space="preserve">Input: FY24 (14.7%) trended down — continued cost discipline</t>
  </si>
  <si>
    <t xml:space="preserve">D&amp;A (EUR m)</t>
  </si>
  <si>
    <t xml:space="preserve">Input: held ~flat at FY24 level (465.4)</t>
  </si>
  <si>
    <t xml:space="preserve">Share-based payment expense add-back (EUR m)</t>
  </si>
  <si>
    <t xml:space="preserve">Input: FY24 actual €171.1m (per cash flow statement), held ~flat; Adjusted EBITDA (company definition) excludes this non-cash item</t>
  </si>
  <si>
    <t xml:space="preserve">Other net operating items % of Revenue</t>
  </si>
  <si>
    <t xml:space="preserve">Input: Other op. income less other op. expense/impairment, net +€119.1m or +1.0% of Revenue in FY24; held slightly below that trend</t>
  </si>
  <si>
    <t xml:space="preserve">PROJECTION</t>
  </si>
  <si>
    <t xml:space="preserve">FY2025E</t>
  </si>
  <si>
    <t xml:space="preserve">FY2026E</t>
  </si>
  <si>
    <t xml:space="preserve">  Revenue growth % YoY</t>
  </si>
  <si>
    <t xml:space="preserve">G&amp;A expenses</t>
  </si>
  <si>
    <t xml:space="preserve">Other net operating items</t>
  </si>
  <si>
    <t xml:space="preserve">Operating result (simplified)</t>
  </si>
  <si>
    <t xml:space="preserve">Adjusted EBITDA proxy (Op. result + D&amp;A + SBC)</t>
  </si>
  <si>
    <t xml:space="preserve">  Adj. EBITDA margin % (of GMV)</t>
  </si>
  <si>
    <t xml:space="preserve">Method: FY2026E GMV grows off the FY25E base at the 3-year average GMV growth rate. Total Segment Revenue is GMV × an assumed take rate (extending the monetization trend seen in FY23–25 as AdTech and Quick Commerce mix grow). IFRS Revenue is derived from Total Segment Revenue using the historical ~95–96% conversion ratio. Gross margin is anchored to the FY25A actual (24.4%, below FY24's 27.1%, reflecting a higher mix of lower-margin Quick Commerce/Dmart sales); opex ratios are trended down from FY24 actuals to reflect continuing operating leverage, consistent with FY2025A's swing to a positive Operating result (€93.7m, the first in the company's history) after an audited FY23→FY24 improvement of +€1,315.6m (see 'Income Statement' tab). This is an illustrative, formula-driven projection for scenario testing — not a company forecast or guidance.</t>
  </si>
  <si>
    <t xml:space="preserve">Sources &amp; Data Notes</t>
  </si>
  <si>
    <t xml:space="preserve">FY2023 &amp; FY2024 (exact)</t>
  </si>
  <si>
    <t xml:space="preserve">Delivery Hero SE, Annual Report 2024 — Consolidated Statement of Profit or Loss, Consolidated Statement of Cash Flows, and 'Key Figures' segment tables (Europe, Americas, Asia, MENA, Integrated Verticals). Audited. All figures used verbatim from the filed statements.</t>
  </si>
  <si>
    <t xml:space="preserve">FY2021 &amp; FY2022 (rounded)</t>
  </si>
  <si>
    <t xml:space="preserve">Delivery Hero SE trading updates / full-year results announcements (Q4 2021 and FY2022 press releases) for GMV and Total Segment Revenue (company-reported, rounded to nearest EUR 0.1bn); IFRS Revenue, Gross Profit, Net Result and diluted EPS from consolidated financial statements as aggregated by stockanalysis.com, cross-checked against official FY2023/FY2024 comparatives (exact match confirms consistency of methodology).</t>
  </si>
  <si>
    <t xml:space="preserve">Delivery Hero SE trading update, 'Delivery Hero reaches FY 2025 targets' (published Feb 27, 2026) for Total Segment Revenue growth (+21% YoY like-for-like), GMV growth (+8% YoY like-for-like) and Adjusted EBITDA growth (+30% YoY, exceeding EUR 900m); IFRS Revenue, Gross Profit, Operating Result and Net Result from FY2025 consolidated results as aggregated by stockanalysis.com.</t>
  </si>
  <si>
    <t xml:space="preserve">Adj. EBITDA/GMV margins (FY21–22)</t>
  </si>
  <si>
    <t xml:space="preserve">Delivery Hero SE trading updates: FY2021 Adjusted EBITDA/GMV margin of -2.2%; FY2022 Group-level Adjusted EBITDA/GMV margin of -1.4% (per 'Delivery Hero concludes FY 2022' press release).</t>
  </si>
  <si>
    <t xml:space="preserve">Projection (FY2026E)</t>
  </si>
  <si>
    <t xml:space="preserve">Illustrative, formula-driven model output built on this workbook's own historical growth rates and margin trends. NOT company guidance — provided for scenario analysis; see 'Growth Outlook FY26E' tab for editable assumptions.</t>
  </si>
  <si>
    <t xml:space="preserve">Conventions</t>
  </si>
  <si>
    <t xml:space="preserve">•</t>
  </si>
  <si>
    <t xml:space="preserve">Blue font = hardcoded input (reported figure or model assumption). Black font = formula (calculated).</t>
  </si>
  <si>
    <t xml:space="preserve">All amounts in EUR million unless stated otherwise. Fiscal year = calendar year ended December 31.</t>
  </si>
  <si>
    <t xml:space="preserve">'Total Segment Revenue' and 'GMV' are Delivery Hero's own non-IFRS operating KPIs, defined in the Annual Report as revenue before deduction of vouchers (Total Segment Revenue) and the total value of orders processed (GMV). 'Revenue' (IFRS) is the statutory income statement line.</t>
  </si>
  <si>
    <t xml:space="preserve">'Adjusted EBITDA' is Delivery Hero's company-defined non-IFRS profitability measure (segment reporting basis); it differs from 'IFRS EBITDA' (Operating result + D&amp;A + impairment, calculated in the 'Income Statement' tab) primarily by excluding share-based payment expense and other one-off items.</t>
  </si>
</sst>
</file>

<file path=xl/styles.xml><?xml version="1.0" encoding="utf-8"?>
<styleSheet xmlns="http://schemas.openxmlformats.org/spreadsheetml/2006/main">
  <numFmts count="4">
    <numFmt numFmtId="164" formatCode="General"/>
    <numFmt numFmtId="165" formatCode="#,##0.0;\(#,##0.0\)"/>
    <numFmt numFmtId="166" formatCode="0.0%;\(0.0%\)"/>
    <numFmt numFmtId="167" formatCode="0.00;\(0.00\)"/>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0"/>
      <color rgb="FFD9E2F3"/>
      <name val="Calibri"/>
      <family val="0"/>
      <charset val="1"/>
    </font>
    <font>
      <b val="true"/>
      <sz val="11"/>
      <color rgb="FFFFFFFF"/>
      <name val="Calibri"/>
      <family val="0"/>
      <charset val="1"/>
    </font>
    <font>
      <b val="true"/>
      <sz val="10"/>
      <color rgb="FF000000"/>
      <name val="Calibri"/>
      <family val="0"/>
      <charset val="1"/>
    </font>
    <font>
      <sz val="10"/>
      <color rgb="FF0000FF"/>
      <name val="Calibri"/>
      <family val="0"/>
      <charset val="1"/>
    </font>
    <font>
      <i val="true"/>
      <sz val="9"/>
      <color rgb="FF808080"/>
      <name val="Calibri"/>
      <family val="0"/>
      <charset val="1"/>
    </font>
    <font>
      <sz val="10"/>
      <color rgb="FF000000"/>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1F3864"/>
      <name val="Cambria"/>
      <family val="0"/>
      <charset val="1"/>
    </font>
    <font>
      <b val="true"/>
      <sz val="11"/>
      <color rgb="FFFFFFFF"/>
      <name val="Cambria"/>
      <family val="0"/>
      <charset val="1"/>
    </font>
    <font>
      <b val="true"/>
      <i val="true"/>
      <sz val="9"/>
      <color rgb="FF808080"/>
      <name val="Cambria"/>
      <family val="0"/>
      <charset val="1"/>
    </font>
    <font>
      <b val="true"/>
      <sz val="9"/>
      <name val="Cambria"/>
      <family val="0"/>
      <charset val="1"/>
    </font>
    <font>
      <b val="true"/>
      <sz val="10"/>
      <color rgb="FF0000FF"/>
      <name val="Calibri"/>
      <family val="0"/>
      <charset val="1"/>
    </font>
    <font>
      <b val="true"/>
      <sz val="12"/>
      <color rgb="FF1F3864"/>
      <name val="Calibri"/>
      <family val="0"/>
      <charset val="1"/>
    </font>
  </fonts>
  <fills count="4">
    <fill>
      <patternFill patternType="none"/>
    </fill>
    <fill>
      <patternFill patternType="gray125"/>
    </fill>
    <fill>
      <patternFill patternType="solid">
        <fgColor rgb="FF1F3864"/>
        <bgColor rgb="FF333333"/>
      </patternFill>
    </fill>
    <fill>
      <patternFill patternType="solid">
        <fgColor rgb="FFD9E2F3"/>
        <bgColor rgb="FFD9D9D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86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bottom" textRotation="0" wrapText="false" indent="1"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1"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1"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left" vertical="bottom" textRotation="0" wrapText="false" indent="1" shrinkToFit="false"/>
      <protection locked="true" hidden="false"/>
    </xf>
    <xf numFmtId="165" fontId="8" fillId="0" borderId="2" xfId="0" applyFont="true" applyBorder="true" applyAlignment="true" applyProtection="false">
      <alignment horizontal="right"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left" vertical="bottom" textRotation="0" wrapText="false" indent="0" shrinkToFit="false"/>
      <protection locked="true" hidden="false"/>
    </xf>
    <xf numFmtId="165" fontId="18" fillId="0" borderId="2"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FAADC"/>
      <rgbColor rgb="FFC0504D"/>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8064A2"/>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GMV &amp; Total Segment Revenue Growth (EUR m)</a:t>
            </a:r>
          </a:p>
        </c:rich>
      </c:tx>
      <c:overlay val="0"/>
      <c:spPr>
        <a:noFill/>
        <a:ln w="0">
          <a:noFill/>
        </a:ln>
      </c:spPr>
    </c:title>
    <c:autoTitleDeleted val="0"/>
    <c:plotArea>
      <c:barChart>
        <c:barDir val="col"/>
        <c:grouping val="clustered"/>
        <c:varyColors val="0"/>
        <c:ser>
          <c:idx val="0"/>
          <c:order val="0"/>
          <c:tx>
            <c:strRef>
              <c:f>"GMV"</c:f>
              <c:strCache>
                <c:ptCount val="1"/>
                <c:pt idx="0">
                  <c:v>GMV</c:v>
                </c:pt>
              </c:strCache>
            </c:strRef>
          </c:tx>
          <c:spPr>
            <a:solidFill>
              <a:srgbClr val="1F3864"/>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'Summary &amp; Growth'!$C$5:$G$5</c:f>
              <c:multiLvlStrCache>
                <c:ptCount val="1"/>
                <c:lvl>
                  <c:pt idx="0">
                    <c:v>FY2025</c:v>
                  </c:pt>
                </c:lvl>
                <c:lvl>
                  <c:pt idx="0">
                    <c:v>FY2024</c:v>
                  </c:pt>
                </c:lvl>
                <c:lvl>
                  <c:pt idx="0">
                    <c:v>FY2023</c:v>
                  </c:pt>
                </c:lvl>
                <c:lvl>
                  <c:pt idx="0">
                    <c:v>FY2022</c:v>
                  </c:pt>
                </c:lvl>
                <c:lvl>
                  <c:pt idx="0">
                    <c:v>FY2021</c:v>
                  </c:pt>
                </c:lvl>
              </c:multiLvlStrCache>
            </c:multiLvlStrRef>
          </c:cat>
          <c:val>
            <c:numRef>
              <c:f>'Summary &amp; Growth'!$C$6:$G$6</c:f>
              <c:numCache>
                <c:formatCode>#,##0.0;\(#,##0.0\)</c:formatCode>
                <c:ptCount val="5"/>
                <c:pt idx="0">
                  <c:v>35400</c:v>
                </c:pt>
                <c:pt idx="1">
                  <c:v>44600</c:v>
                </c:pt>
                <c:pt idx="2">
                  <c:v>45275.2</c:v>
                </c:pt>
                <c:pt idx="3">
                  <c:v>48754</c:v>
                </c:pt>
                <c:pt idx="4">
                  <c:v>52654.32</c:v>
                </c:pt>
              </c:numCache>
            </c:numRef>
          </c:val>
        </c:ser>
        <c:ser>
          <c:idx val="1"/>
          <c:order val="1"/>
          <c:tx>
            <c:strRef>
              <c:f>"Total Segment Revenue"</c:f>
              <c:strCache>
                <c:ptCount val="1"/>
                <c:pt idx="0">
                  <c:v>Total Segment Revenue</c:v>
                </c:pt>
              </c:strCache>
            </c:strRef>
          </c:tx>
          <c:spPr>
            <a:solidFill>
              <a:srgbClr val="8FAADC"/>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'Summary &amp; Growth'!$C$5:$G$5</c:f>
              <c:multiLvlStrCache>
                <c:ptCount val="1"/>
                <c:lvl>
                  <c:pt idx="0">
                    <c:v>FY2025</c:v>
                  </c:pt>
                </c:lvl>
                <c:lvl>
                  <c:pt idx="0">
                    <c:v>FY2024</c:v>
                  </c:pt>
                </c:lvl>
                <c:lvl>
                  <c:pt idx="0">
                    <c:v>FY2023</c:v>
                  </c:pt>
                </c:lvl>
                <c:lvl>
                  <c:pt idx="0">
                    <c:v>FY2022</c:v>
                  </c:pt>
                </c:lvl>
                <c:lvl>
                  <c:pt idx="0">
                    <c:v>FY2021</c:v>
                  </c:pt>
                </c:lvl>
              </c:multiLvlStrCache>
            </c:multiLvlStrRef>
          </c:cat>
          <c:val>
            <c:numRef>
              <c:f>'Summary &amp; Growth'!$C$10:$G$10</c:f>
              <c:numCache>
                <c:formatCode>#,##0.0;\(#,##0.0\)</c:formatCode>
                <c:ptCount val="5"/>
                <c:pt idx="0">
                  <c:v>6600</c:v>
                </c:pt>
                <c:pt idx="1">
                  <c:v>9600</c:v>
                </c:pt>
                <c:pt idx="2">
                  <c:v>10463.2</c:v>
                </c:pt>
                <c:pt idx="3">
                  <c:v>12796.4</c:v>
                </c:pt>
                <c:pt idx="4">
                  <c:v>15483.644</c:v>
                </c:pt>
              </c:numCache>
            </c:numRef>
          </c:val>
        </c:ser>
        <c:gapWidth val="150"/>
        <c:overlap val="0"/>
        <c:axId val="55926205"/>
        <c:axId val="23052075"/>
      </c:barChart>
      <c:catAx>
        <c:axId val="5592620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3052075"/>
        <c:crosses val="autoZero"/>
        <c:auto val="1"/>
        <c:lblAlgn val="ctr"/>
        <c:lblOffset val="100"/>
        <c:noMultiLvlLbl val="0"/>
      </c:catAx>
      <c:valAx>
        <c:axId val="2305207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EUR million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592620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Adjusted EBITDA Trajectory — Loss to Profit (EUR m)</a:t>
            </a:r>
          </a:p>
        </c:rich>
      </c:tx>
      <c:overlay val="0"/>
      <c:spPr>
        <a:noFill/>
        <a:ln w="0">
          <a:noFill/>
        </a:ln>
      </c:spPr>
    </c:title>
    <c:autoTitleDeleted val="0"/>
    <c:plotArea>
      <c:lineChart>
        <c:grouping val="standard"/>
        <c:varyColors val="0"/>
        <c:ser>
          <c:idx val="0"/>
          <c:order val="0"/>
          <c:tx>
            <c:strRef>
              <c:f>"Adjusted EBITDA"</c:f>
              <c:strCache>
                <c:ptCount val="1"/>
                <c:pt idx="0">
                  <c:v>Adjusted EBITDA</c:v>
                </c:pt>
              </c:strCache>
            </c:strRef>
          </c:tx>
          <c:spPr>
            <a:solidFill>
              <a:srgbClr val="C00000"/>
            </a:solidFill>
            <a:ln w="28080">
              <a:solidFill>
                <a:srgbClr val="C00000"/>
              </a:solidFill>
              <a:round/>
            </a:ln>
          </c:spPr>
          <c:marker>
            <c:symbol val="circle"/>
            <c:size val="5"/>
            <c:spPr>
              <a:solidFill>
                <a:srgbClr val="C00000"/>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'Summary &amp; Growth'!$C$5:$G$5</c:f>
              <c:multiLvlStrCache>
                <c:ptCount val="1"/>
                <c:lvl>
                  <c:pt idx="0">
                    <c:v>FY2025</c:v>
                  </c:pt>
                </c:lvl>
                <c:lvl>
                  <c:pt idx="0">
                    <c:v>FY2024</c:v>
                  </c:pt>
                </c:lvl>
                <c:lvl>
                  <c:pt idx="0">
                    <c:v>FY2023</c:v>
                  </c:pt>
                </c:lvl>
                <c:lvl>
                  <c:pt idx="0">
                    <c:v>FY2022</c:v>
                  </c:pt>
                </c:lvl>
                <c:lvl>
                  <c:pt idx="0">
                    <c:v>FY2021</c:v>
                  </c:pt>
                </c:lvl>
              </c:multiLvlStrCache>
            </c:multiLvlStrRef>
          </c:cat>
          <c:val>
            <c:numRef>
              <c:f>'Summary &amp; Growth'!$C$21:$G$21</c:f>
              <c:numCache>
                <c:formatCode>#,##0.0;\(#,##0.0\)</c:formatCode>
                <c:ptCount val="5"/>
                <c:pt idx="0">
                  <c:v>-778.8</c:v>
                </c:pt>
                <c:pt idx="1">
                  <c:v>-624.4</c:v>
                </c:pt>
                <c:pt idx="2">
                  <c:v>253.6</c:v>
                </c:pt>
                <c:pt idx="3">
                  <c:v>692.5</c:v>
                </c:pt>
                <c:pt idx="4">
                  <c:v>900.25</c:v>
                </c:pt>
              </c:numCache>
            </c:numRef>
          </c:val>
          <c:smooth val="0"/>
        </c:ser>
        <c:hiLowLines>
          <c:spPr>
            <a:ln w="0">
              <a:noFill/>
            </a:ln>
          </c:spPr>
        </c:hiLowLines>
        <c:marker val="1"/>
        <c:axId val="98098850"/>
        <c:axId val="80105915"/>
      </c:lineChart>
      <c:catAx>
        <c:axId val="9809885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105915"/>
        <c:crosses val="autoZero"/>
        <c:auto val="1"/>
        <c:lblAlgn val="ctr"/>
        <c:lblOffset val="100"/>
        <c:noMultiLvlLbl val="0"/>
      </c:catAx>
      <c:valAx>
        <c:axId val="8010591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EUR million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09885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Segment GMV: FY2023 vs FY2024 (EUR m)</a:t>
            </a:r>
          </a:p>
        </c:rich>
      </c:tx>
      <c:overlay val="0"/>
      <c:spPr>
        <a:noFill/>
        <a:ln w="0">
          <a:noFill/>
        </a:ln>
      </c:spPr>
    </c:title>
    <c:autoTitleDeleted val="0"/>
    <c:plotArea>
      <c:barChart>
        <c:barDir val="col"/>
        <c:grouping val="clustered"/>
        <c:varyColors val="0"/>
        <c:ser>
          <c:idx val="0"/>
          <c:order val="0"/>
          <c:tx>
            <c:strRef>
              <c:f>'Segment Detail'!J48</c:f>
              <c:strCache>
                <c:ptCount val="1"/>
                <c:pt idx="0">
                  <c:v>GMV FY23</c:v>
                </c:pt>
              </c:strCache>
            </c:strRef>
          </c:tx>
          <c:spPr>
            <a:solidFill>
              <a:srgbClr val="8FAADC"/>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'Segment Detail'!$I$49:$I$53</c:f>
              <c:strCache>
                <c:ptCount val="5"/>
                <c:pt idx="0">
                  <c:v>Europe</c:v>
                </c:pt>
                <c:pt idx="1">
                  <c:v>Americas</c:v>
                </c:pt>
                <c:pt idx="2">
                  <c:v>Asia</c:v>
                </c:pt>
                <c:pt idx="3">
                  <c:v>MENA</c:v>
                </c:pt>
                <c:pt idx="4">
                  <c:v>Integrated Verticals</c:v>
                </c:pt>
              </c:strCache>
            </c:strRef>
          </c:cat>
          <c:val>
            <c:numRef>
              <c:f>'Segment Detail'!$J$49:$J$53</c:f>
              <c:numCache>
                <c:formatCode>#,##0.0;\(#,##0.0\)</c:formatCode>
                <c:ptCount val="5"/>
                <c:pt idx="0">
                  <c:v>7510</c:v>
                </c:pt>
                <c:pt idx="1">
                  <c:v>2451.7</c:v>
                </c:pt>
                <c:pt idx="2">
                  <c:v>25354.2</c:v>
                </c:pt>
                <c:pt idx="3">
                  <c:v>9959.3</c:v>
                </c:pt>
                <c:pt idx="4">
                  <c:v>2224.4</c:v>
                </c:pt>
              </c:numCache>
            </c:numRef>
          </c:val>
        </c:ser>
        <c:ser>
          <c:idx val="1"/>
          <c:order val="1"/>
          <c:tx>
            <c:strRef>
              <c:f>'Segment Detail'!K48</c:f>
              <c:strCache>
                <c:ptCount val="1"/>
                <c:pt idx="0">
                  <c:v>GMV FY24</c:v>
                </c:pt>
              </c:strCache>
            </c:strRef>
          </c:tx>
          <c:spPr>
            <a:solidFill>
              <a:srgbClr val="1F3864"/>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'Segment Detail'!$I$49:$I$53</c:f>
              <c:strCache>
                <c:ptCount val="5"/>
                <c:pt idx="0">
                  <c:v>Europe</c:v>
                </c:pt>
                <c:pt idx="1">
                  <c:v>Americas</c:v>
                </c:pt>
                <c:pt idx="2">
                  <c:v>Asia</c:v>
                </c:pt>
                <c:pt idx="3">
                  <c:v>MENA</c:v>
                </c:pt>
                <c:pt idx="4">
                  <c:v>Integrated Verticals</c:v>
                </c:pt>
              </c:strCache>
            </c:strRef>
          </c:cat>
          <c:val>
            <c:numRef>
              <c:f>'Segment Detail'!$K$49:$K$53</c:f>
              <c:numCache>
                <c:formatCode>#,##0.0;\(#,##0.0\)</c:formatCode>
                <c:ptCount val="5"/>
                <c:pt idx="0">
                  <c:v>8878.7</c:v>
                </c:pt>
                <c:pt idx="1">
                  <c:v>3642</c:v>
                </c:pt>
                <c:pt idx="2">
                  <c:v>23407.4</c:v>
                </c:pt>
                <c:pt idx="3">
                  <c:v>12825.9</c:v>
                </c:pt>
                <c:pt idx="4">
                  <c:v>2904.7</c:v>
                </c:pt>
              </c:numCache>
            </c:numRef>
          </c:val>
        </c:ser>
        <c:gapWidth val="150"/>
        <c:overlap val="0"/>
        <c:axId val="22490912"/>
        <c:axId val="44602207"/>
      </c:barChart>
      <c:catAx>
        <c:axId val="224909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4602207"/>
        <c:crosses val="autoZero"/>
        <c:auto val="1"/>
        <c:lblAlgn val="ctr"/>
        <c:lblOffset val="100"/>
        <c:noMultiLvlLbl val="0"/>
      </c:catAx>
      <c:valAx>
        <c:axId val="4460220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EUR million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249091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FY2024 GMV Mix by Platform Segment</a:t>
            </a:r>
          </a:p>
        </c:rich>
      </c:tx>
      <c:overlay val="0"/>
      <c:spPr>
        <a:noFill/>
        <a:ln w="0">
          <a:noFill/>
        </a:ln>
      </c:spPr>
    </c:title>
    <c:autoTitleDeleted val="0"/>
    <c:plotArea>
      <c:pieChart>
        <c:varyColors val="1"/>
        <c:ser>
          <c:idx val="0"/>
          <c:order val="0"/>
          <c:spPr>
            <a:solidFill>
              <a:srgbClr val="4F81BD"/>
            </a:solidFill>
            <a:ln w="12600">
              <a:noFill/>
            </a:ln>
          </c:spPr>
          <c:explosion val="0"/>
          <c:dPt>
            <c:idx val="0"/>
            <c:spPr>
              <a:solidFill>
                <a:srgbClr val="4F81BD"/>
              </a:solidFill>
              <a:ln w="12600">
                <a:noFill/>
              </a:ln>
            </c:spPr>
          </c:dPt>
          <c:dPt>
            <c:idx val="1"/>
            <c:spPr>
              <a:solidFill>
                <a:srgbClr val="C0504D"/>
              </a:solidFill>
              <a:ln w="12600">
                <a:noFill/>
              </a:ln>
            </c:spPr>
          </c:dPt>
          <c:dPt>
            <c:idx val="2"/>
            <c:spPr>
              <a:solidFill>
                <a:srgbClr val="9BBB59"/>
              </a:solidFill>
              <a:ln w="12600">
                <a:noFill/>
              </a:ln>
            </c:spPr>
          </c:dPt>
          <c:dPt>
            <c:idx val="3"/>
            <c:spPr>
              <a:solidFill>
                <a:srgbClr val="8064A2"/>
              </a:solidFill>
              <a:ln w="12600">
                <a:noFill/>
              </a:ln>
            </c:spP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dLbl>
              <c:idx val="2"/>
              <c:txPr>
                <a:bodyPr wrap="none"/>
                <a:lstStyle/>
                <a:p>
                  <a:pPr>
                    <a:defRPr sz="1000" b="0" u="none" strike="noStrike">
                      <a:uFillTx/>
                      <a:latin typeface="Arial"/>
                    </a:defRPr>
                  </a:pPr>
                </a:p>
              </c:txPr>
              <c:showLegendKey val="0"/>
              <c:showVal val="0"/>
              <c:showCatName val="0"/>
              <c:showSerName val="0"/>
              <c:showPercent val="0"/>
              <c:separator> </c:separator>
            </c:dLbl>
            <c:dLbl>
              <c:idx val="3"/>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'Segment Detail'!$I$57:$I$60</c:f>
              <c:strCache>
                <c:ptCount val="4"/>
                <c:pt idx="0">
                  <c:v>Europe</c:v>
                </c:pt>
                <c:pt idx="1">
                  <c:v>Americas</c:v>
                </c:pt>
                <c:pt idx="2">
                  <c:v>Asia</c:v>
                </c:pt>
                <c:pt idx="3">
                  <c:v>MENA</c:v>
                </c:pt>
              </c:strCache>
            </c:strRef>
          </c:cat>
          <c:val>
            <c:numRef>
              <c:f>'Segment Detail'!$J$57:$J$60</c:f>
              <c:numCache>
                <c:formatCode>#,##0.0;\(#,##0.0\)</c:formatCode>
                <c:ptCount val="4"/>
                <c:pt idx="0">
                  <c:v>8878.7</c:v>
                </c:pt>
                <c:pt idx="1">
                  <c:v>3642</c:v>
                </c:pt>
                <c:pt idx="2">
                  <c:v>23407.4</c:v>
                </c:pt>
                <c:pt idx="3">
                  <c:v>12825.9</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Illustrative FY2026E Build: GMV, Segment Revenue, Adj. EBITDA (EUR m)</a:t>
            </a:r>
          </a:p>
        </c:rich>
      </c:tx>
      <c:overlay val="0"/>
      <c:spPr>
        <a:noFill/>
        <a:ln w="0">
          <a:noFill/>
        </a:ln>
      </c:spPr>
    </c:title>
    <c:autoTitleDeleted val="0"/>
    <c:plotArea>
      <c:barChart>
        <c:barDir val="col"/>
        <c:grouping val="clustered"/>
        <c:varyColors val="0"/>
        <c:ser>
          <c:idx val="0"/>
          <c:order val="0"/>
          <c:tx>
            <c:strRef>
              <c:f>'Growth Outlook FY26E'!C40</c:f>
              <c:strCache>
                <c:ptCount val="1"/>
                <c:pt idx="0">
                  <c:v>FY2025E</c:v>
                </c:pt>
              </c:strCache>
            </c:strRef>
          </c:tx>
          <c:spPr>
            <a:solidFill>
              <a:srgbClr val="8FAADC"/>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'Growth Outlook FY26E'!$B$41:$B$43</c:f>
              <c:strCache>
                <c:ptCount val="3"/>
                <c:pt idx="0">
                  <c:v>GMV</c:v>
                </c:pt>
                <c:pt idx="1">
                  <c:v>Total Segment Revenue</c:v>
                </c:pt>
                <c:pt idx="2">
                  <c:v>Adjusted EBITDA</c:v>
                </c:pt>
              </c:strCache>
            </c:strRef>
          </c:cat>
          <c:val>
            <c:numRef>
              <c:f>'Growth Outlook FY26E'!$C$41:$C$43</c:f>
              <c:numCache>
                <c:formatCode>#,##0.0;\(#,##0.0\)</c:formatCode>
                <c:ptCount val="3"/>
                <c:pt idx="0">
                  <c:v>52654.32</c:v>
                </c:pt>
                <c:pt idx="1">
                  <c:v>15483.644</c:v>
                </c:pt>
                <c:pt idx="2">
                  <c:v>900.25</c:v>
                </c:pt>
              </c:numCache>
            </c:numRef>
          </c:val>
        </c:ser>
        <c:ser>
          <c:idx val="1"/>
          <c:order val="1"/>
          <c:tx>
            <c:strRef>
              <c:f>'Growth Outlook FY26E'!D40</c:f>
              <c:strCache>
                <c:ptCount val="1"/>
                <c:pt idx="0">
                  <c:v>FY2026E</c:v>
                </c:pt>
              </c:strCache>
            </c:strRef>
          </c:tx>
          <c:spPr>
            <a:solidFill>
              <a:srgbClr val="1F3864"/>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'Growth Outlook FY26E'!$B$41:$B$43</c:f>
              <c:strCache>
                <c:ptCount val="3"/>
                <c:pt idx="0">
                  <c:v>GMV</c:v>
                </c:pt>
                <c:pt idx="1">
                  <c:v>Total Segment Revenue</c:v>
                </c:pt>
                <c:pt idx="2">
                  <c:v>Adjusted EBITDA</c:v>
                </c:pt>
              </c:strCache>
            </c:strRef>
          </c:cat>
          <c:val>
            <c:numRef>
              <c:f>'Growth Outlook FY26E'!$D$41:$D$43</c:f>
              <c:numCache>
                <c:formatCode>#,##0.0;\(#,##0.0\)</c:formatCode>
                <c:ptCount val="3"/>
                <c:pt idx="0">
                  <c:v>58830.0185811189</c:v>
                </c:pt>
                <c:pt idx="1">
                  <c:v>18182.1336517701</c:v>
                </c:pt>
                <c:pt idx="2">
                  <c:v>1004.64269038625</c:v>
                </c:pt>
              </c:numCache>
            </c:numRef>
          </c:val>
        </c:ser>
        <c:gapWidth val="150"/>
        <c:overlap val="0"/>
        <c:axId val="73133987"/>
        <c:axId val="31174503"/>
      </c:barChart>
      <c:catAx>
        <c:axId val="731339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1174503"/>
        <c:crosses val="autoZero"/>
        <c:auto val="1"/>
        <c:lblAlgn val="ctr"/>
        <c:lblOffset val="100"/>
        <c:noMultiLvlLbl val="0"/>
      </c:catAx>
      <c:valAx>
        <c:axId val="3117450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EUR million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313398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35</xdr:row>
      <xdr:rowOff>0</xdr:rowOff>
    </xdr:from>
    <xdr:to>
      <xdr:col>5</xdr:col>
      <xdr:colOff>614520</xdr:colOff>
      <xdr:row>50</xdr:row>
      <xdr:rowOff>22320</xdr:rowOff>
    </xdr:to>
    <xdr:graphicFrame>
      <xdr:nvGraphicFramePr>
        <xdr:cNvPr id="1" name="Chart 1"/>
        <xdr:cNvGraphicFramePr/>
      </xdr:nvGraphicFramePr>
      <xdr:xfrm>
        <a:off x="141120" y="70581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35</xdr:row>
      <xdr:rowOff>0</xdr:rowOff>
    </xdr:from>
    <xdr:to>
      <xdr:col>11</xdr:col>
      <xdr:colOff>259920</xdr:colOff>
      <xdr:row>50</xdr:row>
      <xdr:rowOff>22320</xdr:rowOff>
    </xdr:to>
    <xdr:graphicFrame>
      <xdr:nvGraphicFramePr>
        <xdr:cNvPr id="2" name="Chart 2"/>
        <xdr:cNvGraphicFramePr/>
      </xdr:nvGraphicFramePr>
      <xdr:xfrm>
        <a:off x="4370040" y="705816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46</xdr:row>
      <xdr:rowOff>0</xdr:rowOff>
    </xdr:from>
    <xdr:to>
      <xdr:col>5</xdr:col>
      <xdr:colOff>614520</xdr:colOff>
      <xdr:row>62</xdr:row>
      <xdr:rowOff>11520</xdr:rowOff>
    </xdr:to>
    <xdr:graphicFrame>
      <xdr:nvGraphicFramePr>
        <xdr:cNvPr id="3" name="Chart 1"/>
        <xdr:cNvGraphicFramePr/>
      </xdr:nvGraphicFramePr>
      <xdr:xfrm>
        <a:off x="141120" y="915336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46</xdr:row>
      <xdr:rowOff>0</xdr:rowOff>
    </xdr:from>
    <xdr:to>
      <xdr:col>8</xdr:col>
      <xdr:colOff>239040</xdr:colOff>
      <xdr:row>62</xdr:row>
      <xdr:rowOff>11520</xdr:rowOff>
    </xdr:to>
    <xdr:graphicFrame>
      <xdr:nvGraphicFramePr>
        <xdr:cNvPr id="4" name="Chart 2"/>
        <xdr:cNvGraphicFramePr/>
      </xdr:nvGraphicFramePr>
      <xdr:xfrm>
        <a:off x="4370040" y="9153360"/>
        <a:ext cx="359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4</xdr:row>
      <xdr:rowOff>0</xdr:rowOff>
    </xdr:from>
    <xdr:to>
      <xdr:col>10</xdr:col>
      <xdr:colOff>572400</xdr:colOff>
      <xdr:row>21</xdr:row>
      <xdr:rowOff>1080</xdr:rowOff>
    </xdr:to>
    <xdr:graphicFrame>
      <xdr:nvGraphicFramePr>
        <xdr:cNvPr id="5" name="Chart 1"/>
        <xdr:cNvGraphicFramePr/>
      </xdr:nvGraphicFramePr>
      <xdr:xfrm>
        <a:off x="5145480" y="96192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8" min="3" style="0" width="13"/>
  </cols>
  <sheetData>
    <row r="2" customFormat="false" ht="27.75" hidden="false" customHeight="true" outlineLevel="0" collapsed="false">
      <c r="B2" s="1" t="s">
        <v>0</v>
      </c>
      <c r="C2" s="1"/>
      <c r="D2" s="1"/>
      <c r="E2" s="1"/>
      <c r="F2" s="1"/>
      <c r="G2" s="1"/>
      <c r="H2" s="1"/>
    </row>
    <row r="3" customFormat="false" ht="18" hidden="false" customHeight="true" outlineLevel="0" collapsed="false">
      <c r="B3" s="2" t="s">
        <v>1</v>
      </c>
      <c r="C3" s="2"/>
      <c r="D3" s="2"/>
      <c r="E3" s="2"/>
      <c r="F3" s="2"/>
      <c r="G3" s="2"/>
      <c r="H3" s="2"/>
    </row>
    <row r="5" customFormat="false" ht="30" hidden="false" customHeight="true" outlineLevel="0" collapsed="false">
      <c r="B5" s="3" t="s">
        <v>2</v>
      </c>
      <c r="C5" s="3" t="s">
        <v>3</v>
      </c>
      <c r="D5" s="3" t="s">
        <v>4</v>
      </c>
      <c r="E5" s="3" t="s">
        <v>5</v>
      </c>
      <c r="F5" s="3" t="s">
        <v>6</v>
      </c>
      <c r="G5" s="3" t="s">
        <v>7</v>
      </c>
      <c r="H5" s="3" t="s">
        <v>8</v>
      </c>
    </row>
    <row r="6" customFormat="false" ht="15" hidden="false" customHeight="false" outlineLevel="0" collapsed="false">
      <c r="B6" s="4" t="s">
        <v>9</v>
      </c>
      <c r="C6" s="5" t="n">
        <v>35400</v>
      </c>
      <c r="D6" s="5" t="n">
        <v>44600</v>
      </c>
      <c r="E6" s="5" t="n">
        <v>45275.2</v>
      </c>
      <c r="F6" s="5" t="n">
        <v>48754</v>
      </c>
      <c r="G6" s="6" t="n">
        <f aca="false">F6*(1+G8)</f>
        <v>52654.32</v>
      </c>
      <c r="H6" s="7" t="n">
        <f aca="false">IFERROR((G6/C6)^(1/4)-1,"n/m")</f>
        <v>0.104352418520016</v>
      </c>
    </row>
    <row r="7" customFormat="false" ht="15" hidden="false" customHeight="false" outlineLevel="0" collapsed="false">
      <c r="B7" s="8" t="s">
        <v>10</v>
      </c>
      <c r="D7" s="9" t="n">
        <f aca="false">D6/C6-1</f>
        <v>0.259887005649718</v>
      </c>
      <c r="E7" s="9" t="n">
        <f aca="false">E6/D6-1</f>
        <v>0.0151390134529148</v>
      </c>
      <c r="F7" s="9" t="n">
        <f aca="false">F6/E6-1</f>
        <v>0.0768367671484611</v>
      </c>
      <c r="G7" s="9" t="n">
        <f aca="false">G6/F6-1</f>
        <v>0.0800000000000001</v>
      </c>
      <c r="H7" s="9" t="n">
        <f aca="false">AVERAGE(D7:F7)</f>
        <v>0.117287595417031</v>
      </c>
    </row>
    <row r="8" customFormat="false" ht="15" hidden="false" customHeight="false" outlineLevel="0" collapsed="false">
      <c r="B8" s="10" t="s">
        <v>11</v>
      </c>
      <c r="C8" s="11"/>
      <c r="D8" s="11"/>
      <c r="E8" s="11"/>
      <c r="F8" s="11"/>
      <c r="G8" s="11" t="n">
        <v>0.08</v>
      </c>
    </row>
    <row r="10" customFormat="false" ht="15" hidden="false" customHeight="false" outlineLevel="0" collapsed="false">
      <c r="B10" s="4" t="s">
        <v>12</v>
      </c>
      <c r="C10" s="5" t="n">
        <v>6600</v>
      </c>
      <c r="D10" s="5" t="n">
        <v>9600</v>
      </c>
      <c r="E10" s="5" t="n">
        <v>10463.2</v>
      </c>
      <c r="F10" s="5" t="n">
        <v>12796.4</v>
      </c>
      <c r="G10" s="6" t="n">
        <f aca="false">F10*(1+G12)</f>
        <v>15483.644</v>
      </c>
      <c r="H10" s="7" t="n">
        <f aca="false">IFERROR((G10/C10)^(1/4)-1,"n/m")</f>
        <v>0.237605727266147</v>
      </c>
    </row>
    <row r="11" customFormat="false" ht="15" hidden="false" customHeight="false" outlineLevel="0" collapsed="false">
      <c r="B11" s="8" t="s">
        <v>10</v>
      </c>
      <c r="D11" s="9" t="n">
        <f aca="false">D10/C10-1</f>
        <v>0.454545454545455</v>
      </c>
      <c r="E11" s="9" t="n">
        <f aca="false">E10/D10-1</f>
        <v>0.0899166666666666</v>
      </c>
      <c r="F11" s="9" t="n">
        <f aca="false">F10/E10-1</f>
        <v>0.222991054361954</v>
      </c>
      <c r="G11" s="9" t="n">
        <f aca="false">G10/F10-1</f>
        <v>0.21</v>
      </c>
      <c r="H11" s="9" t="n">
        <f aca="false">AVERAGE(D11:F11)</f>
        <v>0.255817725191359</v>
      </c>
    </row>
    <row r="12" customFormat="false" ht="15" hidden="false" customHeight="false" outlineLevel="0" collapsed="false">
      <c r="B12" s="10" t="s">
        <v>13</v>
      </c>
      <c r="C12" s="11"/>
      <c r="D12" s="11"/>
      <c r="E12" s="11"/>
      <c r="F12" s="11"/>
      <c r="G12" s="11" t="n">
        <v>0.21</v>
      </c>
    </row>
    <row r="13" customFormat="false" ht="15" hidden="false" customHeight="false" outlineLevel="0" collapsed="false">
      <c r="B13" s="8" t="s">
        <v>14</v>
      </c>
      <c r="C13" s="9" t="n">
        <f aca="false">C10/C6</f>
        <v>0.186440677966102</v>
      </c>
      <c r="D13" s="9" t="n">
        <f aca="false">D10/D6</f>
        <v>0.2152466367713</v>
      </c>
      <c r="E13" s="9" t="n">
        <f aca="false">E10/E6</f>
        <v>0.231102236986253</v>
      </c>
      <c r="F13" s="9" t="n">
        <f aca="false">F10/F6</f>
        <v>0.26246872051524</v>
      </c>
      <c r="G13" s="9" t="n">
        <f aca="false">G10/G6</f>
        <v>0.294062177614296</v>
      </c>
    </row>
    <row r="15" customFormat="false" ht="15" hidden="false" customHeight="false" outlineLevel="0" collapsed="false">
      <c r="B15" s="4" t="s">
        <v>15</v>
      </c>
      <c r="C15" s="5" t="n">
        <v>5856</v>
      </c>
      <c r="D15" s="5" t="n">
        <v>8577</v>
      </c>
      <c r="E15" s="5" t="n">
        <v>9941.9</v>
      </c>
      <c r="F15" s="5" t="n">
        <v>12294.7</v>
      </c>
      <c r="G15" s="5" t="n">
        <v>14060</v>
      </c>
      <c r="H15" s="7" t="n">
        <f aca="false">(G15/C15)^(1/4)-1</f>
        <v>0.244789920881372</v>
      </c>
    </row>
    <row r="16" customFormat="false" ht="15" hidden="false" customHeight="false" outlineLevel="0" collapsed="false">
      <c r="B16" s="8" t="s">
        <v>10</v>
      </c>
      <c r="D16" s="9" t="n">
        <f aca="false">D15/C15-1</f>
        <v>0.464651639344262</v>
      </c>
      <c r="E16" s="9" t="n">
        <f aca="false">E15/D15-1</f>
        <v>0.15913489565116</v>
      </c>
      <c r="F16" s="9" t="n">
        <f aca="false">F15/E15-1</f>
        <v>0.236654965348676</v>
      </c>
      <c r="G16" s="9" t="n">
        <f aca="false">G15/F15-1</f>
        <v>0.143582193953492</v>
      </c>
      <c r="H16" s="9" t="n">
        <f aca="false">AVERAGE(D16:G16)</f>
        <v>0.251005923574398</v>
      </c>
    </row>
    <row r="18" customFormat="false" ht="15" hidden="false" customHeight="false" outlineLevel="0" collapsed="false">
      <c r="B18" s="4" t="s">
        <v>16</v>
      </c>
      <c r="C18" s="5" t="n">
        <v>1258</v>
      </c>
      <c r="D18" s="5" t="n">
        <v>2232</v>
      </c>
      <c r="E18" s="5" t="n">
        <v>2972.7</v>
      </c>
      <c r="F18" s="5" t="n">
        <v>3329.2</v>
      </c>
      <c r="G18" s="5" t="n">
        <v>3433</v>
      </c>
    </row>
    <row r="19" customFormat="false" ht="15" hidden="false" customHeight="false" outlineLevel="0" collapsed="false">
      <c r="B19" s="8" t="s">
        <v>17</v>
      </c>
      <c r="C19" s="9" t="n">
        <f aca="false">C18/C15</f>
        <v>0.214822404371585</v>
      </c>
      <c r="D19" s="9" t="n">
        <f aca="false">D18/D15</f>
        <v>0.260230849947534</v>
      </c>
      <c r="E19" s="9" t="n">
        <f aca="false">E18/E15</f>
        <v>0.299007232018025</v>
      </c>
      <c r="F19" s="9" t="n">
        <f aca="false">F18/F15</f>
        <v>0.270783345669272</v>
      </c>
      <c r="G19" s="9" t="n">
        <f aca="false">G18/G15</f>
        <v>0.244167852062589</v>
      </c>
    </row>
    <row r="21" customFormat="false" ht="15" hidden="false" customHeight="false" outlineLevel="0" collapsed="false">
      <c r="B21" s="4" t="s">
        <v>18</v>
      </c>
      <c r="C21" s="6" t="n">
        <f aca="false">C6*C22</f>
        <v>-778.8</v>
      </c>
      <c r="D21" s="6" t="n">
        <f aca="false">D6*D22</f>
        <v>-624.4</v>
      </c>
      <c r="E21" s="5" t="n">
        <v>253.6</v>
      </c>
      <c r="F21" s="5" t="n">
        <v>692.5</v>
      </c>
      <c r="G21" s="6" t="n">
        <f aca="false">F21*(1+G23)</f>
        <v>900.25</v>
      </c>
    </row>
    <row r="22" customFormat="false" ht="15" hidden="false" customHeight="false" outlineLevel="0" collapsed="false">
      <c r="B22" s="10" t="s">
        <v>19</v>
      </c>
      <c r="C22" s="11" t="n">
        <v>-0.022</v>
      </c>
      <c r="D22" s="11" t="n">
        <v>-0.014</v>
      </c>
      <c r="E22" s="12" t="n">
        <f aca="false">E21/E6</f>
        <v>0.00560130049121815</v>
      </c>
      <c r="F22" s="12" t="n">
        <f aca="false">F21/F6</f>
        <v>0.0142039627517742</v>
      </c>
      <c r="G22" s="12" t="n">
        <f aca="false">G21/G6</f>
        <v>0.0170973625715801</v>
      </c>
    </row>
    <row r="23" customFormat="false" ht="15" hidden="false" customHeight="false" outlineLevel="0" collapsed="false">
      <c r="B23" s="10" t="s">
        <v>20</v>
      </c>
      <c r="C23" s="11"/>
      <c r="D23" s="11"/>
      <c r="E23" s="11"/>
      <c r="F23" s="11"/>
      <c r="G23" s="11" t="n">
        <v>0.3</v>
      </c>
    </row>
    <row r="24" customFormat="false" ht="15" hidden="false" customHeight="false" outlineLevel="0" collapsed="false">
      <c r="B24" s="8" t="s">
        <v>21</v>
      </c>
      <c r="D24" s="13" t="n">
        <f aca="false">D21-C21</f>
        <v>154.4</v>
      </c>
      <c r="E24" s="13" t="n">
        <f aca="false">E21-D21</f>
        <v>878</v>
      </c>
      <c r="F24" s="13" t="n">
        <f aca="false">F21-E21</f>
        <v>438.9</v>
      </c>
      <c r="G24" s="13" t="n">
        <f aca="false">G21-F21</f>
        <v>207.75</v>
      </c>
    </row>
    <row r="26" customFormat="false" ht="15" hidden="false" customHeight="false" outlineLevel="0" collapsed="false">
      <c r="B26" s="4" t="s">
        <v>22</v>
      </c>
      <c r="C26" s="5" t="n">
        <v>-1124</v>
      </c>
      <c r="D26" s="5" t="n">
        <v>-3008</v>
      </c>
      <c r="E26" s="5" t="n">
        <v>-2297.5</v>
      </c>
      <c r="F26" s="5" t="n">
        <v>-882.4</v>
      </c>
      <c r="G26" s="5" t="n">
        <v>-782.9</v>
      </c>
    </row>
    <row r="27" customFormat="false" ht="15" hidden="false" customHeight="false" outlineLevel="0" collapsed="false">
      <c r="B27" s="8" t="s">
        <v>23</v>
      </c>
      <c r="C27" s="9" t="n">
        <f aca="false">C26/C15</f>
        <v>-0.191939890710383</v>
      </c>
      <c r="D27" s="9" t="n">
        <f aca="false">D26/D15</f>
        <v>-0.350705374839688</v>
      </c>
      <c r="E27" s="9" t="n">
        <f aca="false">E26/E15</f>
        <v>-0.231092648286545</v>
      </c>
      <c r="F27" s="9" t="n">
        <f aca="false">F26/F15</f>
        <v>-0.0717707630117042</v>
      </c>
      <c r="G27" s="9" t="n">
        <f aca="false">G26/G15</f>
        <v>-0.0556827880512091</v>
      </c>
    </row>
    <row r="29" customFormat="false" ht="15" hidden="false" customHeight="false" outlineLevel="0" collapsed="false">
      <c r="B29" s="4" t="s">
        <v>24</v>
      </c>
      <c r="C29" s="14" t="n">
        <v>-4.57</v>
      </c>
      <c r="D29" s="14" t="n">
        <v>-11.28</v>
      </c>
      <c r="E29" s="14" t="n">
        <v>-8.57</v>
      </c>
      <c r="F29" s="14" t="n">
        <v>-3.1</v>
      </c>
      <c r="G29" s="14" t="n">
        <v>-2.62</v>
      </c>
    </row>
    <row r="31" customFormat="false" ht="15" hidden="false" customHeight="true" outlineLevel="0" collapsed="false">
      <c r="B31" s="15" t="s">
        <v>25</v>
      </c>
      <c r="C31" s="15"/>
      <c r="D31" s="15"/>
      <c r="E31" s="15"/>
      <c r="F31" s="15"/>
      <c r="G31" s="15"/>
      <c r="H31" s="15"/>
    </row>
    <row r="32" customFormat="false" ht="15" hidden="false" customHeight="false" outlineLevel="0" collapsed="false">
      <c r="B32" s="15"/>
      <c r="C32" s="15"/>
      <c r="D32" s="15"/>
      <c r="E32" s="15"/>
      <c r="F32" s="15"/>
      <c r="G32" s="15"/>
      <c r="H32" s="15"/>
    </row>
    <row r="33" customFormat="false" ht="15" hidden="false" customHeight="false" outlineLevel="0" collapsed="false">
      <c r="B33" s="15"/>
      <c r="C33" s="15"/>
      <c r="D33" s="15"/>
      <c r="E33" s="15"/>
      <c r="F33" s="15"/>
      <c r="G33" s="15"/>
      <c r="H33" s="15"/>
    </row>
    <row r="34" customFormat="false" ht="15" hidden="false" customHeight="false" outlineLevel="0" collapsed="false">
      <c r="B34" s="15"/>
      <c r="C34" s="15"/>
      <c r="D34" s="15"/>
      <c r="E34" s="15"/>
      <c r="F34" s="15"/>
      <c r="G34" s="15"/>
      <c r="H34" s="15"/>
    </row>
  </sheetData>
  <mergeCells count="3">
    <mergeCell ref="B2:H2"/>
    <mergeCell ref="B3:H3"/>
    <mergeCell ref="B31:H3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7" min="3" style="0" width="13"/>
    <col collapsed="false" customWidth="true" hidden="false" outlineLevel="0" max="9" min="9" style="0" width="20"/>
    <col collapsed="false" customWidth="true" hidden="false" outlineLevel="0" max="11" min="10" style="0" width="11"/>
  </cols>
  <sheetData>
    <row r="2" customFormat="false" ht="27.75" hidden="false" customHeight="true" outlineLevel="0" collapsed="false">
      <c r="B2" s="1" t="s">
        <v>26</v>
      </c>
      <c r="C2" s="1"/>
      <c r="D2" s="1"/>
      <c r="E2" s="1"/>
      <c r="F2" s="1"/>
      <c r="G2" s="1"/>
    </row>
    <row r="3" customFormat="false" ht="18" hidden="false" customHeight="true" outlineLevel="0" collapsed="false">
      <c r="B3" s="2" t="s">
        <v>27</v>
      </c>
      <c r="C3" s="2"/>
      <c r="D3" s="2"/>
      <c r="E3" s="2"/>
      <c r="F3" s="2"/>
      <c r="G3" s="2"/>
    </row>
    <row r="5" customFormat="false" ht="30" hidden="false" customHeight="true" outlineLevel="0" collapsed="false">
      <c r="B5" s="3" t="s">
        <v>28</v>
      </c>
      <c r="C5" s="3" t="s">
        <v>5</v>
      </c>
      <c r="D5" s="3" t="s">
        <v>6</v>
      </c>
      <c r="E5" s="3" t="s">
        <v>29</v>
      </c>
      <c r="F5" s="3" t="s">
        <v>30</v>
      </c>
      <c r="G5" s="3" t="s">
        <v>31</v>
      </c>
    </row>
    <row r="6" customFormat="false" ht="15" hidden="false" customHeight="false" outlineLevel="0" collapsed="false">
      <c r="B6" s="16" t="s">
        <v>32</v>
      </c>
      <c r="C6" s="17"/>
      <c r="D6" s="17"/>
      <c r="E6" s="17"/>
      <c r="F6" s="17"/>
      <c r="G6" s="17"/>
    </row>
    <row r="7" customFormat="false" ht="15" hidden="false" customHeight="false" outlineLevel="0" collapsed="false">
      <c r="B7" s="18" t="s">
        <v>33</v>
      </c>
      <c r="C7" s="5" t="n">
        <v>7510</v>
      </c>
      <c r="D7" s="5" t="n">
        <v>8878.7</v>
      </c>
      <c r="E7" s="13" t="n">
        <f aca="false">D7-C7</f>
        <v>1368.7</v>
      </c>
      <c r="F7" s="9" t="n">
        <f aca="false">D7/C7-1</f>
        <v>0.182250332889481</v>
      </c>
      <c r="G7" s="9" t="n">
        <f aca="false">D7/$D$37</f>
        <v>0.182112236944661</v>
      </c>
    </row>
    <row r="8" customFormat="false" ht="15" hidden="false" customHeight="false" outlineLevel="0" collapsed="false">
      <c r="B8" s="18" t="s">
        <v>34</v>
      </c>
      <c r="C8" s="5" t="n">
        <v>1522.4</v>
      </c>
      <c r="D8" s="5" t="n">
        <v>1891.9</v>
      </c>
      <c r="E8" s="13" t="n">
        <f aca="false">D8-C8</f>
        <v>369.5</v>
      </c>
      <c r="F8" s="9" t="n">
        <f aca="false">D8/C8-1</f>
        <v>0.242708880714661</v>
      </c>
    </row>
    <row r="9" customFormat="false" ht="15" hidden="false" customHeight="false" outlineLevel="0" collapsed="false">
      <c r="B9" s="18" t="s">
        <v>18</v>
      </c>
      <c r="C9" s="5" t="n">
        <v>-168.2</v>
      </c>
      <c r="D9" s="5" t="n">
        <v>-77</v>
      </c>
      <c r="E9" s="13" t="n">
        <f aca="false">D9-C9</f>
        <v>91.2</v>
      </c>
      <c r="F9" s="9" t="n">
        <f aca="false">IFERROR(D9/C9-1,"n/m")</f>
        <v>-0.542211652794292</v>
      </c>
    </row>
    <row r="10" customFormat="false" ht="15" hidden="false" customHeight="false" outlineLevel="0" collapsed="false">
      <c r="B10" s="8" t="s">
        <v>35</v>
      </c>
      <c r="C10" s="9" t="n">
        <f aca="false">C9/C7</f>
        <v>-0.0223968042609854</v>
      </c>
      <c r="D10" s="9" t="n">
        <f aca="false">D9/D7</f>
        <v>-0.00867244078525009</v>
      </c>
      <c r="E10" s="9" t="n">
        <f aca="false">D10-C10</f>
        <v>0.0137243634757353</v>
      </c>
    </row>
    <row r="12" customFormat="false" ht="15" hidden="false" customHeight="false" outlineLevel="0" collapsed="false">
      <c r="B12" s="16" t="s">
        <v>36</v>
      </c>
      <c r="C12" s="17"/>
      <c r="D12" s="17"/>
      <c r="E12" s="17"/>
      <c r="F12" s="17"/>
      <c r="G12" s="17"/>
    </row>
    <row r="13" customFormat="false" ht="15" hidden="false" customHeight="false" outlineLevel="0" collapsed="false">
      <c r="B13" s="18" t="s">
        <v>33</v>
      </c>
      <c r="C13" s="5" t="n">
        <v>2451.7</v>
      </c>
      <c r="D13" s="5" t="n">
        <v>3642</v>
      </c>
      <c r="E13" s="13" t="n">
        <f aca="false">D13-C13</f>
        <v>1190.3</v>
      </c>
      <c r="F13" s="9" t="n">
        <f aca="false">D13/C13-1</f>
        <v>0.485499857241914</v>
      </c>
      <c r="G13" s="9" t="n">
        <f aca="false">D13/$D$37</f>
        <v>0.0747015629486811</v>
      </c>
    </row>
    <row r="14" customFormat="false" ht="15" hidden="false" customHeight="false" outlineLevel="0" collapsed="false">
      <c r="B14" s="18" t="s">
        <v>34</v>
      </c>
      <c r="C14" s="5" t="n">
        <v>651</v>
      </c>
      <c r="D14" s="5" t="n">
        <v>939.6</v>
      </c>
      <c r="E14" s="13" t="n">
        <f aca="false">D14-C14</f>
        <v>288.6</v>
      </c>
      <c r="F14" s="9" t="n">
        <f aca="false">D14/C14-1</f>
        <v>0.443317972350231</v>
      </c>
    </row>
    <row r="15" customFormat="false" ht="15" hidden="false" customHeight="false" outlineLevel="0" collapsed="false">
      <c r="B15" s="18" t="s">
        <v>18</v>
      </c>
      <c r="C15" s="5" t="n">
        <v>-49.9</v>
      </c>
      <c r="D15" s="5" t="n">
        <v>10.3</v>
      </c>
      <c r="E15" s="13" t="n">
        <f aca="false">D15-C15</f>
        <v>60.2</v>
      </c>
      <c r="F15" s="9" t="n">
        <f aca="false">IFERROR(D15/C15-1,"n/m")</f>
        <v>-1.2064128256513</v>
      </c>
    </row>
    <row r="16" customFormat="false" ht="15" hidden="false" customHeight="false" outlineLevel="0" collapsed="false">
      <c r="B16" s="8" t="s">
        <v>35</v>
      </c>
      <c r="C16" s="9" t="n">
        <f aca="false">C15/C13</f>
        <v>-0.0203532242933475</v>
      </c>
      <c r="D16" s="9" t="n">
        <f aca="false">D15/D13</f>
        <v>0.0028281164195497</v>
      </c>
      <c r="E16" s="9" t="n">
        <f aca="false">D16-C16</f>
        <v>0.0231813407128972</v>
      </c>
    </row>
    <row r="18" customFormat="false" ht="15" hidden="false" customHeight="false" outlineLevel="0" collapsed="false">
      <c r="B18" s="16" t="s">
        <v>37</v>
      </c>
      <c r="C18" s="17"/>
      <c r="D18" s="17"/>
      <c r="E18" s="17"/>
      <c r="F18" s="17"/>
      <c r="G18" s="17"/>
    </row>
    <row r="19" customFormat="false" ht="15" hidden="false" customHeight="false" outlineLevel="0" collapsed="false">
      <c r="B19" s="18" t="s">
        <v>33</v>
      </c>
      <c r="C19" s="5" t="n">
        <v>25354.2</v>
      </c>
      <c r="D19" s="5" t="n">
        <v>23407.4</v>
      </c>
      <c r="E19" s="13" t="n">
        <f aca="false">D19-C19</f>
        <v>-1946.8</v>
      </c>
      <c r="F19" s="9" t="n">
        <f aca="false">D19/C19-1</f>
        <v>-0.0767841225516877</v>
      </c>
      <c r="G19" s="9" t="n">
        <f aca="false">D19/$D$37</f>
        <v>0.480112401033761</v>
      </c>
    </row>
    <row r="20" customFormat="false" ht="15" hidden="false" customHeight="false" outlineLevel="0" collapsed="false">
      <c r="B20" s="18" t="s">
        <v>34</v>
      </c>
      <c r="C20" s="5" t="n">
        <v>3729.4</v>
      </c>
      <c r="D20" s="5" t="n">
        <v>4071.9</v>
      </c>
      <c r="E20" s="13" t="n">
        <f aca="false">D20-C20</f>
        <v>342.5</v>
      </c>
      <c r="F20" s="9" t="n">
        <f aca="false">D20/C20-1</f>
        <v>0.0918378291414168</v>
      </c>
    </row>
    <row r="21" customFormat="false" ht="15" hidden="false" customHeight="false" outlineLevel="0" collapsed="false">
      <c r="B21" s="18" t="s">
        <v>18</v>
      </c>
      <c r="C21" s="5" t="n">
        <v>385</v>
      </c>
      <c r="D21" s="5" t="n">
        <v>385.1</v>
      </c>
      <c r="E21" s="13" t="n">
        <f aca="false">D21-C21</f>
        <v>0.100000000000023</v>
      </c>
      <c r="F21" s="9" t="n">
        <f aca="false">IFERROR(D21/C21-1,"n/m")</f>
        <v>0.000259740259740404</v>
      </c>
    </row>
    <row r="22" customFormat="false" ht="15" hidden="false" customHeight="false" outlineLevel="0" collapsed="false">
      <c r="B22" s="8" t="s">
        <v>35</v>
      </c>
      <c r="C22" s="9" t="n">
        <f aca="false">C21/C19</f>
        <v>0.0151848608908978</v>
      </c>
      <c r="D22" s="9" t="n">
        <f aca="false">D21/D19</f>
        <v>0.0164520621683741</v>
      </c>
      <c r="E22" s="9" t="n">
        <f aca="false">D22-C22</f>
        <v>0.00126720127747634</v>
      </c>
    </row>
    <row r="24" customFormat="false" ht="15" hidden="false" customHeight="false" outlineLevel="0" collapsed="false">
      <c r="B24" s="16" t="s">
        <v>38</v>
      </c>
      <c r="C24" s="17"/>
      <c r="D24" s="17"/>
      <c r="E24" s="17"/>
      <c r="F24" s="17"/>
      <c r="G24" s="17"/>
    </row>
    <row r="25" customFormat="false" ht="15" hidden="false" customHeight="false" outlineLevel="0" collapsed="false">
      <c r="B25" s="18" t="s">
        <v>33</v>
      </c>
      <c r="C25" s="5" t="n">
        <v>9959.3</v>
      </c>
      <c r="D25" s="5" t="n">
        <v>12825.9</v>
      </c>
      <c r="E25" s="13" t="n">
        <f aca="false">D25-C25</f>
        <v>2866.6</v>
      </c>
      <c r="F25" s="9" t="n">
        <f aca="false">D25/C25-1</f>
        <v>0.287831474099585</v>
      </c>
      <c r="G25" s="9" t="n">
        <f aca="false">D25/$D$37</f>
        <v>0.263073799072897</v>
      </c>
    </row>
    <row r="26" customFormat="false" ht="15" hidden="false" customHeight="false" outlineLevel="0" collapsed="false">
      <c r="B26" s="18" t="s">
        <v>34</v>
      </c>
      <c r="C26" s="5" t="n">
        <v>2700.8</v>
      </c>
      <c r="D26" s="5" t="n">
        <v>3527.8</v>
      </c>
      <c r="E26" s="13" t="n">
        <f aca="false">D26-C26</f>
        <v>827</v>
      </c>
      <c r="F26" s="9" t="n">
        <f aca="false">D26/C26-1</f>
        <v>0.306205568720379</v>
      </c>
    </row>
    <row r="27" customFormat="false" ht="15" hidden="false" customHeight="false" outlineLevel="0" collapsed="false">
      <c r="B27" s="18" t="s">
        <v>18</v>
      </c>
      <c r="C27" s="5" t="n">
        <v>304.6</v>
      </c>
      <c r="D27" s="5" t="n">
        <v>472.9</v>
      </c>
      <c r="E27" s="13" t="n">
        <f aca="false">D27-C27</f>
        <v>168.3</v>
      </c>
      <c r="F27" s="9" t="n">
        <f aca="false">IFERROR(D27/C27-1,"n/m")</f>
        <v>0.55252790544977</v>
      </c>
    </row>
    <row r="28" customFormat="false" ht="15" hidden="false" customHeight="false" outlineLevel="0" collapsed="false">
      <c r="B28" s="8" t="s">
        <v>35</v>
      </c>
      <c r="C28" s="9" t="n">
        <f aca="false">C27/C25</f>
        <v>0.0305844788288334</v>
      </c>
      <c r="D28" s="9" t="n">
        <f aca="false">D27/D25</f>
        <v>0.0368707069289485</v>
      </c>
      <c r="E28" s="9" t="n">
        <f aca="false">D28-C28</f>
        <v>0.0062862281001151</v>
      </c>
    </row>
    <row r="30" customFormat="false" ht="15" hidden="false" customHeight="false" outlineLevel="0" collapsed="false">
      <c r="B30" s="16" t="s">
        <v>39</v>
      </c>
      <c r="C30" s="17"/>
      <c r="D30" s="17"/>
      <c r="E30" s="17"/>
      <c r="F30" s="17"/>
      <c r="G30" s="17"/>
    </row>
    <row r="31" customFormat="false" ht="15" hidden="false" customHeight="false" outlineLevel="0" collapsed="false">
      <c r="B31" s="18" t="s">
        <v>33</v>
      </c>
      <c r="C31" s="5" t="n">
        <v>2224.4</v>
      </c>
      <c r="D31" s="5" t="n">
        <v>2904.7</v>
      </c>
      <c r="E31" s="13" t="n">
        <f aca="false">D31-C31</f>
        <v>680.3</v>
      </c>
      <c r="F31" s="9" t="n">
        <f aca="false">D31/C31-1</f>
        <v>0.305835281424204</v>
      </c>
      <c r="G31" s="9" t="n">
        <f aca="false">D31/$D$37</f>
        <v>0.0595787012347705</v>
      </c>
    </row>
    <row r="32" customFormat="false" ht="15" hidden="false" customHeight="false" outlineLevel="0" collapsed="false">
      <c r="B32" s="18" t="s">
        <v>34</v>
      </c>
      <c r="C32" s="5" t="n">
        <v>2126.1</v>
      </c>
      <c r="D32" s="5" t="n">
        <v>2709.8</v>
      </c>
      <c r="E32" s="13" t="n">
        <f aca="false">D32-C32</f>
        <v>583.7</v>
      </c>
      <c r="F32" s="9" t="n">
        <f aca="false">D32/C32-1</f>
        <v>0.27454023799445</v>
      </c>
    </row>
    <row r="33" customFormat="false" ht="15" hidden="false" customHeight="false" outlineLevel="0" collapsed="false">
      <c r="B33" s="18" t="s">
        <v>18</v>
      </c>
      <c r="C33" s="5" t="n">
        <v>-217.9</v>
      </c>
      <c r="D33" s="5" t="n">
        <v>-98.7</v>
      </c>
      <c r="E33" s="13" t="n">
        <f aca="false">D33-C33</f>
        <v>119.2</v>
      </c>
      <c r="F33" s="9" t="n">
        <f aca="false">IFERROR(D33/C33-1,"n/m")</f>
        <v>-0.547039926571822</v>
      </c>
    </row>
    <row r="34" customFormat="false" ht="15" hidden="false" customHeight="false" outlineLevel="0" collapsed="false">
      <c r="B34" s="8" t="s">
        <v>35</v>
      </c>
      <c r="C34" s="9" t="n">
        <f aca="false">C33/C31</f>
        <v>-0.0979590001798238</v>
      </c>
      <c r="D34" s="9" t="n">
        <f aca="false">D33/D31</f>
        <v>-0.0339794126760079</v>
      </c>
      <c r="E34" s="9" t="n">
        <f aca="false">D34-C34</f>
        <v>0.0639795875038159</v>
      </c>
    </row>
    <row r="36" customFormat="false" ht="15" hidden="false" customHeight="false" outlineLevel="0" collapsed="false">
      <c r="B36" s="19" t="s">
        <v>40</v>
      </c>
      <c r="C36" s="20"/>
      <c r="D36" s="20"/>
      <c r="E36" s="20"/>
      <c r="F36" s="20"/>
      <c r="G36" s="20"/>
    </row>
    <row r="37" customFormat="false" ht="15" hidden="false" customHeight="false" outlineLevel="0" collapsed="false">
      <c r="B37" s="21" t="s">
        <v>33</v>
      </c>
      <c r="C37" s="22" t="n">
        <v>45275.2</v>
      </c>
      <c r="D37" s="22" t="n">
        <v>48754</v>
      </c>
      <c r="E37" s="23" t="n">
        <f aca="false">D37-C37</f>
        <v>3478.8</v>
      </c>
      <c r="F37" s="7" t="n">
        <f aca="false">D37/C37-1</f>
        <v>0.0768367671484611</v>
      </c>
      <c r="G37" s="7" t="n">
        <v>1</v>
      </c>
    </row>
    <row r="38" customFormat="false" ht="15" hidden="false" customHeight="false" outlineLevel="0" collapsed="false">
      <c r="B38" s="4" t="s">
        <v>41</v>
      </c>
      <c r="C38" s="5" t="n">
        <v>10463.2</v>
      </c>
      <c r="D38" s="5" t="n">
        <v>12796.4</v>
      </c>
      <c r="E38" s="23" t="n">
        <f aca="false">D38-C38</f>
        <v>2333.2</v>
      </c>
      <c r="F38" s="7" t="n">
        <f aca="false">D38/C38-1</f>
        <v>0.222991054361954</v>
      </c>
    </row>
    <row r="39" customFormat="false" ht="15" hidden="false" customHeight="false" outlineLevel="0" collapsed="false">
      <c r="B39" s="4" t="s">
        <v>18</v>
      </c>
      <c r="C39" s="5" t="n">
        <v>253.6</v>
      </c>
      <c r="D39" s="5" t="n">
        <v>692.5</v>
      </c>
      <c r="E39" s="23" t="n">
        <f aca="false">D39-C39</f>
        <v>438.9</v>
      </c>
      <c r="F39" s="7" t="n">
        <f aca="false">D39/C39-1</f>
        <v>1.73067823343849</v>
      </c>
    </row>
    <row r="40" customFormat="false" ht="15" hidden="false" customHeight="false" outlineLevel="0" collapsed="false">
      <c r="B40" s="8" t="s">
        <v>35</v>
      </c>
      <c r="C40" s="9" t="n">
        <f aca="false">C39/C37</f>
        <v>0.00560130049121815</v>
      </c>
      <c r="D40" s="9" t="n">
        <f aca="false">D39/D37</f>
        <v>0.0142039627517742</v>
      </c>
    </row>
    <row r="43" customFormat="false" ht="15" hidden="false" customHeight="true" outlineLevel="0" collapsed="false">
      <c r="B43" s="15" t="s">
        <v>42</v>
      </c>
      <c r="C43" s="15"/>
      <c r="D43" s="15"/>
      <c r="E43" s="15"/>
      <c r="F43" s="15"/>
      <c r="G43" s="15"/>
    </row>
    <row r="44" customFormat="false" ht="15" hidden="false" customHeight="false" outlineLevel="0" collapsed="false">
      <c r="B44" s="15"/>
      <c r="C44" s="15"/>
      <c r="D44" s="15"/>
      <c r="E44" s="15"/>
      <c r="F44" s="15"/>
      <c r="G44" s="15"/>
    </row>
    <row r="45" customFormat="false" ht="15" hidden="false" customHeight="false" outlineLevel="0" collapsed="false">
      <c r="B45" s="15"/>
      <c r="C45" s="15"/>
      <c r="D45" s="15"/>
      <c r="E45" s="15"/>
      <c r="F45" s="15"/>
      <c r="G45" s="15"/>
    </row>
    <row r="47" customFormat="false" ht="15" hidden="false" customHeight="false" outlineLevel="0" collapsed="false">
      <c r="I47" s="24" t="s">
        <v>43</v>
      </c>
    </row>
    <row r="48" customFormat="false" ht="15" hidden="false" customHeight="false" outlineLevel="0" collapsed="false">
      <c r="I48" s="25" t="s">
        <v>44</v>
      </c>
      <c r="J48" s="25" t="s">
        <v>45</v>
      </c>
      <c r="K48" s="25" t="s">
        <v>46</v>
      </c>
    </row>
    <row r="49" customFormat="false" ht="15" hidden="false" customHeight="false" outlineLevel="0" collapsed="false">
      <c r="I49" s="0" t="str">
        <f aca="false">B6</f>
        <v>Europe</v>
      </c>
      <c r="J49" s="26" t="n">
        <f aca="false">C7</f>
        <v>7510</v>
      </c>
      <c r="K49" s="26" t="n">
        <f aca="false">D7</f>
        <v>8878.7</v>
      </c>
    </row>
    <row r="50" customFormat="false" ht="15" hidden="false" customHeight="false" outlineLevel="0" collapsed="false">
      <c r="I50" s="0" t="str">
        <f aca="false">B12</f>
        <v>Americas</v>
      </c>
      <c r="J50" s="26" t="n">
        <f aca="false">C13</f>
        <v>2451.7</v>
      </c>
      <c r="K50" s="26" t="n">
        <f aca="false">D13</f>
        <v>3642</v>
      </c>
    </row>
    <row r="51" customFormat="false" ht="15" hidden="false" customHeight="false" outlineLevel="0" collapsed="false">
      <c r="I51" s="0" t="str">
        <f aca="false">B18</f>
        <v>Asia</v>
      </c>
      <c r="J51" s="26" t="n">
        <f aca="false">C19</f>
        <v>25354.2</v>
      </c>
      <c r="K51" s="26" t="n">
        <f aca="false">D19</f>
        <v>23407.4</v>
      </c>
    </row>
    <row r="52" customFormat="false" ht="15" hidden="false" customHeight="false" outlineLevel="0" collapsed="false">
      <c r="I52" s="0" t="str">
        <f aca="false">B24</f>
        <v>MENA</v>
      </c>
      <c r="J52" s="26" t="n">
        <f aca="false">C25</f>
        <v>9959.3</v>
      </c>
      <c r="K52" s="26" t="n">
        <f aca="false">D25</f>
        <v>12825.9</v>
      </c>
    </row>
    <row r="53" customFormat="false" ht="15" hidden="false" customHeight="false" outlineLevel="0" collapsed="false">
      <c r="I53" s="0" t="str">
        <f aca="false">B30</f>
        <v>Integrated Verticals</v>
      </c>
      <c r="J53" s="26" t="n">
        <f aca="false">C31</f>
        <v>2224.4</v>
      </c>
      <c r="K53" s="26" t="n">
        <f aca="false">D31</f>
        <v>2904.7</v>
      </c>
    </row>
    <row r="56" customFormat="false" ht="15" hidden="false" customHeight="false" outlineLevel="0" collapsed="false">
      <c r="I56" s="24" t="s">
        <v>47</v>
      </c>
    </row>
    <row r="57" customFormat="false" ht="15" hidden="false" customHeight="false" outlineLevel="0" collapsed="false">
      <c r="I57" s="0" t="s">
        <v>32</v>
      </c>
      <c r="J57" s="26" t="n">
        <f aca="false">D7</f>
        <v>8878.7</v>
      </c>
    </row>
    <row r="58" customFormat="false" ht="15" hidden="false" customHeight="false" outlineLevel="0" collapsed="false">
      <c r="I58" s="0" t="s">
        <v>36</v>
      </c>
      <c r="J58" s="26" t="n">
        <f aca="false">D13</f>
        <v>3642</v>
      </c>
    </row>
    <row r="59" customFormat="false" ht="15" hidden="false" customHeight="false" outlineLevel="0" collapsed="false">
      <c r="I59" s="0" t="s">
        <v>37</v>
      </c>
      <c r="J59" s="26" t="n">
        <f aca="false">D19</f>
        <v>23407.4</v>
      </c>
    </row>
    <row r="60" customFormat="false" ht="15" hidden="false" customHeight="false" outlineLevel="0" collapsed="false">
      <c r="I60" s="0" t="s">
        <v>38</v>
      </c>
      <c r="J60" s="26" t="n">
        <f aca="false">D25</f>
        <v>12825.9</v>
      </c>
    </row>
  </sheetData>
  <mergeCells count="3">
    <mergeCell ref="B2:G2"/>
    <mergeCell ref="B3:G3"/>
    <mergeCell ref="B43:G4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7" min="3" style="0" width="13"/>
  </cols>
  <sheetData>
    <row r="2" customFormat="false" ht="27.75" hidden="false" customHeight="true" outlineLevel="0" collapsed="false">
      <c r="B2" s="1" t="s">
        <v>48</v>
      </c>
      <c r="C2" s="1"/>
      <c r="D2" s="1"/>
      <c r="E2" s="1"/>
      <c r="F2" s="1"/>
      <c r="G2" s="1"/>
    </row>
    <row r="3" customFormat="false" ht="18" hidden="false" customHeight="true" outlineLevel="0" collapsed="false">
      <c r="B3" s="2" t="s">
        <v>49</v>
      </c>
      <c r="C3" s="2"/>
      <c r="D3" s="2"/>
      <c r="E3" s="2"/>
      <c r="F3" s="2"/>
      <c r="G3" s="2"/>
    </row>
    <row r="5" customFormat="false" ht="21.75" hidden="false" customHeight="true" outlineLevel="0" collapsed="false">
      <c r="B5" s="3" t="s">
        <v>50</v>
      </c>
      <c r="C5" s="3" t="s">
        <v>5</v>
      </c>
      <c r="D5" s="3" t="s">
        <v>6</v>
      </c>
      <c r="E5" s="3" t="s">
        <v>29</v>
      </c>
      <c r="F5" s="3" t="s">
        <v>30</v>
      </c>
      <c r="G5" s="3" t="s">
        <v>51</v>
      </c>
    </row>
    <row r="6" customFormat="false" ht="15" hidden="false" customHeight="false" outlineLevel="0" collapsed="false">
      <c r="B6" s="27" t="s">
        <v>52</v>
      </c>
      <c r="C6" s="28" t="n">
        <v>9941.9</v>
      </c>
      <c r="D6" s="28" t="n">
        <v>12294.7</v>
      </c>
      <c r="E6" s="29" t="n">
        <f aca="false">D6-C6</f>
        <v>2352.8</v>
      </c>
      <c r="F6" s="30" t="n">
        <f aca="false">IFERROR(D6/C6-1,"n/m")</f>
        <v>0.236654965348676</v>
      </c>
      <c r="G6" s="7" t="n">
        <v>1</v>
      </c>
    </row>
    <row r="7" customFormat="false" ht="15" hidden="false" customHeight="false" outlineLevel="0" collapsed="false">
      <c r="B7" s="18" t="s">
        <v>53</v>
      </c>
      <c r="C7" s="31" t="n">
        <v>-6969.2</v>
      </c>
      <c r="D7" s="31" t="n">
        <v>-8965.5</v>
      </c>
      <c r="E7" s="13" t="n">
        <f aca="false">D7-C7</f>
        <v>-1996.3</v>
      </c>
      <c r="F7" s="9" t="n">
        <f aca="false">IFERROR(D7/C7-1,"n/m")</f>
        <v>0.286446077024623</v>
      </c>
      <c r="G7" s="9" t="n">
        <f aca="false">D7/D$6</f>
        <v>-0.729216654330728</v>
      </c>
    </row>
    <row r="8" customFormat="false" ht="15" hidden="false" customHeight="false" outlineLevel="0" collapsed="false">
      <c r="B8" s="27" t="s">
        <v>54</v>
      </c>
      <c r="C8" s="29" t="n">
        <f aca="false">C6+C7</f>
        <v>2972.7</v>
      </c>
      <c r="D8" s="29" t="n">
        <f aca="false">D6+D7</f>
        <v>3329.2</v>
      </c>
      <c r="E8" s="29" t="n">
        <f aca="false">D8-C8</f>
        <v>356.500000000001</v>
      </c>
      <c r="F8" s="30" t="n">
        <f aca="false">IFERROR(D8/C8-1,"n/m")</f>
        <v>0.119924647626737</v>
      </c>
      <c r="G8" s="9" t="n">
        <f aca="false">D8/D$6</f>
        <v>0.270783345669272</v>
      </c>
    </row>
    <row r="9" customFormat="false" ht="15" hidden="false" customHeight="false" outlineLevel="0" collapsed="false">
      <c r="B9" s="8" t="s">
        <v>17</v>
      </c>
      <c r="C9" s="9" t="n">
        <f aca="false">C8/C6</f>
        <v>0.299007232018025</v>
      </c>
      <c r="D9" s="9" t="n">
        <f aca="false">D8/D6</f>
        <v>0.270783345669272</v>
      </c>
    </row>
    <row r="10" customFormat="false" ht="15" hidden="false" customHeight="false" outlineLevel="0" collapsed="false">
      <c r="B10" s="18" t="s">
        <v>55</v>
      </c>
      <c r="C10" s="31" t="n">
        <v>-1458.2</v>
      </c>
      <c r="D10" s="31" t="n">
        <v>-1450.8</v>
      </c>
      <c r="E10" s="13" t="n">
        <f aca="false">D10-C10</f>
        <v>7.40000000000009</v>
      </c>
      <c r="F10" s="9" t="n">
        <f aca="false">IFERROR(D10/C10-1,"n/m")</f>
        <v>-0.00507474969140043</v>
      </c>
      <c r="G10" s="9" t="n">
        <f aca="false">D10/D$6</f>
        <v>-0.118002065930848</v>
      </c>
    </row>
    <row r="11" customFormat="false" ht="15" hidden="false" customHeight="false" outlineLevel="0" collapsed="false">
      <c r="B11" s="18" t="s">
        <v>56</v>
      </c>
      <c r="C11" s="31" t="n">
        <v>-587.6</v>
      </c>
      <c r="D11" s="31" t="n">
        <v>-531.8</v>
      </c>
      <c r="E11" s="13" t="n">
        <f aca="false">D11-C11</f>
        <v>55.8000000000001</v>
      </c>
      <c r="F11" s="9" t="n">
        <f aca="false">IFERROR(D11/C11-1,"n/m")</f>
        <v>-0.0949625595643296</v>
      </c>
      <c r="G11" s="9" t="n">
        <f aca="false">D11/D$6</f>
        <v>-0.0432544104370176</v>
      </c>
    </row>
    <row r="12" customFormat="false" ht="15" hidden="false" customHeight="false" outlineLevel="0" collapsed="false">
      <c r="B12" s="18" t="s">
        <v>57</v>
      </c>
      <c r="C12" s="31" t="n">
        <v>-1744.2</v>
      </c>
      <c r="D12" s="31" t="n">
        <v>-1806.9</v>
      </c>
      <c r="E12" s="13" t="n">
        <f aca="false">D12-C12</f>
        <v>-62.7</v>
      </c>
      <c r="F12" s="9" t="n">
        <f aca="false">IFERROR(D12/C12-1,"n/m")</f>
        <v>0.0359477124183008</v>
      </c>
      <c r="G12" s="9" t="n">
        <f aca="false">D12/D$6</f>
        <v>-0.146965765736456</v>
      </c>
    </row>
    <row r="13" customFormat="false" ht="15" hidden="false" customHeight="false" outlineLevel="0" collapsed="false">
      <c r="B13" s="18" t="s">
        <v>58</v>
      </c>
      <c r="C13" s="31" t="n">
        <v>76.5</v>
      </c>
      <c r="D13" s="31" t="n">
        <v>252.3</v>
      </c>
      <c r="E13" s="13" t="n">
        <f aca="false">D13-C13</f>
        <v>175.8</v>
      </c>
      <c r="F13" s="9" t="n">
        <f aca="false">IFERROR(D13/C13-1,"n/m")</f>
        <v>2.29803921568628</v>
      </c>
      <c r="G13" s="9" t="n">
        <f aca="false">D13/D$6</f>
        <v>0.0205210375202323</v>
      </c>
    </row>
    <row r="14" customFormat="false" ht="15" hidden="false" customHeight="false" outlineLevel="0" collapsed="false">
      <c r="B14" s="18" t="s">
        <v>59</v>
      </c>
      <c r="C14" s="31" t="n">
        <v>-885.3</v>
      </c>
      <c r="D14" s="31" t="n">
        <v>-103.1</v>
      </c>
      <c r="E14" s="13" t="n">
        <f aca="false">D14-C14</f>
        <v>782.2</v>
      </c>
      <c r="F14" s="9" t="n">
        <f aca="false">IFERROR(D14/C14-1,"n/m")</f>
        <v>-0.883542302044505</v>
      </c>
      <c r="G14" s="9" t="n">
        <f aca="false">D14/D$6</f>
        <v>-0.00838572718325783</v>
      </c>
    </row>
    <row r="15" customFormat="false" ht="15" hidden="false" customHeight="false" outlineLevel="0" collapsed="false">
      <c r="B15" s="18" t="s">
        <v>60</v>
      </c>
      <c r="C15" s="31" t="n">
        <v>-30.9</v>
      </c>
      <c r="D15" s="31" t="n">
        <v>-30.1</v>
      </c>
      <c r="E15" s="13" t="n">
        <f aca="false">D15-C15</f>
        <v>0.799999999999997</v>
      </c>
      <c r="F15" s="9" t="n">
        <f aca="false">IFERROR(D15/C15-1,"n/m")</f>
        <v>-0.0258899676375404</v>
      </c>
      <c r="G15" s="9" t="n">
        <f aca="false">D15/D$6</f>
        <v>-0.00244820939103842</v>
      </c>
    </row>
    <row r="16" customFormat="false" ht="15" hidden="false" customHeight="false" outlineLevel="0" collapsed="false">
      <c r="B16" s="27" t="s">
        <v>61</v>
      </c>
      <c r="C16" s="29" t="n">
        <f aca="false">C8+C10+C11+C12+C13+C14+C15</f>
        <v>-1657</v>
      </c>
      <c r="D16" s="29" t="n">
        <f aca="false">D8+D10+D11+D12+D13+D14+D15</f>
        <v>-341.199999999999</v>
      </c>
      <c r="E16" s="29" t="n">
        <f aca="false">D16-C16</f>
        <v>1315.8</v>
      </c>
      <c r="F16" s="30" t="n">
        <f aca="false">IFERROR(D16/C16-1,"n/m")</f>
        <v>-0.794085697042849</v>
      </c>
      <c r="G16" s="9" t="n">
        <f aca="false">D16/D$6</f>
        <v>-0.0277517954891131</v>
      </c>
    </row>
    <row r="17" customFormat="false" ht="15" hidden="false" customHeight="false" outlineLevel="0" collapsed="false">
      <c r="B17" s="8" t="s">
        <v>62</v>
      </c>
      <c r="C17" s="9" t="n">
        <f aca="false">C16/C6</f>
        <v>-0.166668343073256</v>
      </c>
      <c r="D17" s="9" t="n">
        <f aca="false">D16/D6</f>
        <v>-0.0277517954891131</v>
      </c>
    </row>
    <row r="18" customFormat="false" ht="15" hidden="false" customHeight="false" outlineLevel="0" collapsed="false">
      <c r="B18" s="18" t="s">
        <v>63</v>
      </c>
      <c r="C18" s="31" t="n">
        <v>-232.2</v>
      </c>
      <c r="D18" s="31" t="n">
        <v>-244.6</v>
      </c>
      <c r="E18" s="13" t="n">
        <f aca="false">D18-C18</f>
        <v>-12.4</v>
      </c>
      <c r="F18" s="9" t="n">
        <f aca="false">IFERROR(D18/C18-1,"n/m")</f>
        <v>0.053402239448751</v>
      </c>
      <c r="G18" s="9" t="n">
        <f aca="false">D18/D$6</f>
        <v>-0.0198947513969434</v>
      </c>
    </row>
    <row r="19" customFormat="false" ht="15" hidden="false" customHeight="false" outlineLevel="0" collapsed="false">
      <c r="B19" s="18" t="s">
        <v>64</v>
      </c>
      <c r="C19" s="31" t="n">
        <v>-266.1</v>
      </c>
      <c r="D19" s="31" t="n">
        <v>44.8</v>
      </c>
      <c r="E19" s="13" t="n">
        <f aca="false">D19-C19</f>
        <v>310.9</v>
      </c>
      <c r="F19" s="9" t="n">
        <f aca="false">IFERROR(D19/C19-1,"n/m")</f>
        <v>-1.16835776024051</v>
      </c>
      <c r="G19" s="9" t="n">
        <f aca="false">D19/D$6</f>
        <v>0.00364384653549904</v>
      </c>
    </row>
    <row r="20" customFormat="false" ht="15" hidden="false" customHeight="false" outlineLevel="0" collapsed="false">
      <c r="B20" s="18" t="s">
        <v>65</v>
      </c>
      <c r="C20" s="31" t="n">
        <v>-7.4</v>
      </c>
      <c r="D20" s="31" t="n">
        <v>-1.3</v>
      </c>
      <c r="E20" s="13" t="n">
        <f aca="false">D20-C20</f>
        <v>6.1</v>
      </c>
      <c r="F20" s="9" t="n">
        <f aca="false">IFERROR(D20/C20-1,"n/m")</f>
        <v>-0.824324324324324</v>
      </c>
      <c r="G20" s="9" t="n">
        <f aca="false">D20/D$6</f>
        <v>-0.000105736618217606</v>
      </c>
    </row>
    <row r="21" customFormat="false" ht="15" hidden="false" customHeight="false" outlineLevel="0" collapsed="false">
      <c r="B21" s="27" t="s">
        <v>66</v>
      </c>
      <c r="C21" s="29" t="n">
        <f aca="false">C16+C18+C19+C20</f>
        <v>-2162.7</v>
      </c>
      <c r="D21" s="29" t="n">
        <f aca="false">D16+D18+D19+D20</f>
        <v>-542.299999999999</v>
      </c>
      <c r="E21" s="29" t="n">
        <f aca="false">D21-C21</f>
        <v>1620.4</v>
      </c>
      <c r="F21" s="30" t="n">
        <f aca="false">IFERROR(D21/C21-1,"n/m")</f>
        <v>-0.74924862440468</v>
      </c>
      <c r="G21" s="9" t="n">
        <f aca="false">D21/D$6</f>
        <v>-0.0441084369687751</v>
      </c>
    </row>
    <row r="22" customFormat="false" ht="15" hidden="false" customHeight="false" outlineLevel="0" collapsed="false">
      <c r="B22" s="18" t="s">
        <v>67</v>
      </c>
      <c r="C22" s="31" t="n">
        <v>-142.1</v>
      </c>
      <c r="D22" s="31" t="n">
        <v>-339.3</v>
      </c>
      <c r="E22" s="13" t="n">
        <f aca="false">D22-C22</f>
        <v>-197.2</v>
      </c>
      <c r="F22" s="9" t="n">
        <f aca="false">IFERROR(D22/C22-1,"n/m")</f>
        <v>1.38775510204082</v>
      </c>
      <c r="G22" s="9" t="n">
        <f aca="false">D22/D$6</f>
        <v>-0.0275972573547952</v>
      </c>
    </row>
    <row r="23" customFormat="false" ht="15" hidden="false" customHeight="false" outlineLevel="0" collapsed="false">
      <c r="B23" s="27" t="s">
        <v>68</v>
      </c>
      <c r="C23" s="29" t="n">
        <f aca="false">C21+C22</f>
        <v>-2304.8</v>
      </c>
      <c r="D23" s="29" t="n">
        <f aca="false">D21+D22</f>
        <v>-881.599999999999</v>
      </c>
      <c r="E23" s="29" t="n">
        <f aca="false">D23-C23</f>
        <v>1423.2</v>
      </c>
      <c r="F23" s="30" t="n">
        <f aca="false">IFERROR(D23/C23-1,"n/m")</f>
        <v>-0.617493925720237</v>
      </c>
      <c r="G23" s="9" t="n">
        <f aca="false">D23/D$6</f>
        <v>-0.0717056943235703</v>
      </c>
    </row>
    <row r="24" customFormat="false" ht="15" hidden="false" customHeight="false" outlineLevel="0" collapsed="false">
      <c r="B24" s="8" t="s">
        <v>23</v>
      </c>
      <c r="C24" s="9" t="n">
        <f aca="false">C23/C6</f>
        <v>-0.231826914372504</v>
      </c>
      <c r="D24" s="9" t="n">
        <f aca="false">D23/D6</f>
        <v>-0.0717056943235703</v>
      </c>
    </row>
    <row r="25" customFormat="false" ht="15" hidden="false" customHeight="false" outlineLevel="0" collapsed="false">
      <c r="B25" s="18" t="s">
        <v>69</v>
      </c>
      <c r="C25" s="31" t="n">
        <v>-2297.5</v>
      </c>
      <c r="D25" s="31" t="n">
        <v>-882.4</v>
      </c>
      <c r="E25" s="13" t="n">
        <f aca="false">D25-C25</f>
        <v>1415.1</v>
      </c>
      <c r="F25" s="9" t="n">
        <f aca="false">IFERROR(D25/C25-1,"n/m")</f>
        <v>-0.615930359085963</v>
      </c>
    </row>
    <row r="26" customFormat="false" ht="15" hidden="false" customHeight="false" outlineLevel="0" collapsed="false">
      <c r="B26" s="18" t="s">
        <v>70</v>
      </c>
      <c r="C26" s="31" t="n">
        <v>-7.2</v>
      </c>
      <c r="D26" s="31" t="n">
        <v>0.8</v>
      </c>
      <c r="E26" s="13" t="n">
        <f aca="false">D26-C26</f>
        <v>8</v>
      </c>
      <c r="F26" s="9" t="n">
        <f aca="false">IFERROR(D26/C26-1,"n/m")</f>
        <v>-1.11111111111111</v>
      </c>
    </row>
    <row r="28" customFormat="false" ht="15" hidden="false" customHeight="false" outlineLevel="0" collapsed="false">
      <c r="B28" s="32" t="s">
        <v>71</v>
      </c>
      <c r="C28" s="33" t="n">
        <v>-8.57</v>
      </c>
      <c r="D28" s="33" t="n">
        <v>-3.1</v>
      </c>
      <c r="E28" s="13" t="n">
        <f aca="false">D28-C28</f>
        <v>5.47</v>
      </c>
      <c r="F28" s="9" t="n">
        <f aca="false">IFERROR(D28/C28-1,"n/m")</f>
        <v>-0.638273045507585</v>
      </c>
    </row>
    <row r="30" customFormat="false" ht="15" hidden="false" customHeight="false" outlineLevel="0" collapsed="false">
      <c r="B30" s="24" t="s">
        <v>72</v>
      </c>
    </row>
    <row r="31" customFormat="false" ht="15" hidden="false" customHeight="false" outlineLevel="0" collapsed="false">
      <c r="B31" s="18" t="s">
        <v>73</v>
      </c>
      <c r="C31" s="31" t="n">
        <v>475</v>
      </c>
      <c r="D31" s="31" t="n">
        <v>465.4</v>
      </c>
      <c r="E31" s="13" t="n">
        <f aca="false">D31-C31</f>
        <v>-9.60000000000002</v>
      </c>
      <c r="F31" s="9" t="n">
        <f aca="false">IFERROR(D31/C31-1,"n/m")</f>
        <v>-0.0202105263157896</v>
      </c>
    </row>
    <row r="32" customFormat="false" ht="15" hidden="false" customHeight="false" outlineLevel="0" collapsed="false">
      <c r="B32" s="18" t="s">
        <v>74</v>
      </c>
      <c r="C32" s="31" t="n">
        <v>1004.7</v>
      </c>
      <c r="D32" s="31" t="n">
        <v>133.2</v>
      </c>
      <c r="E32" s="13" t="n">
        <f aca="false">D32-C32</f>
        <v>-871.5</v>
      </c>
      <c r="F32" s="9" t="n">
        <f aca="false">IFERROR(D32/C32-1,"n/m")</f>
        <v>-0.86742311137653</v>
      </c>
    </row>
    <row r="33" customFormat="false" ht="15" hidden="false" customHeight="false" outlineLevel="0" collapsed="false">
      <c r="B33" s="21" t="s">
        <v>75</v>
      </c>
      <c r="C33" s="29" t="n">
        <f aca="false">C16+C31+C32</f>
        <v>-177.3</v>
      </c>
      <c r="D33" s="29" t="n">
        <f aca="false">D16+D31+D32</f>
        <v>257.400000000001</v>
      </c>
      <c r="E33" s="29" t="n">
        <f aca="false">D33-C33</f>
        <v>434.700000000001</v>
      </c>
      <c r="F33" s="30" t="n">
        <f aca="false">IFERROR(D33/C33-1,"n/m")</f>
        <v>-2.45177664974619</v>
      </c>
    </row>
    <row r="34" customFormat="false" ht="15" hidden="false" customHeight="false" outlineLevel="0" collapsed="false">
      <c r="B34" s="21" t="s">
        <v>76</v>
      </c>
      <c r="C34" s="28" t="n">
        <v>253.6</v>
      </c>
      <c r="D34" s="28" t="n">
        <v>692.5</v>
      </c>
      <c r="E34" s="29" t="n">
        <f aca="false">D34-C34</f>
        <v>438.9</v>
      </c>
      <c r="F34" s="30" t="n">
        <f aca="false">IFERROR(D34/C34-1,"n/m")</f>
        <v>1.73067823343849</v>
      </c>
    </row>
    <row r="36" customFormat="false" ht="15" hidden="false" customHeight="true" outlineLevel="0" collapsed="false">
      <c r="B36" s="15" t="s">
        <v>77</v>
      </c>
      <c r="C36" s="15"/>
      <c r="D36" s="15"/>
      <c r="E36" s="15"/>
      <c r="F36" s="15"/>
      <c r="G36" s="15"/>
    </row>
    <row r="37" customFormat="false" ht="15" hidden="false" customHeight="false" outlineLevel="0" collapsed="false">
      <c r="B37" s="15"/>
      <c r="C37" s="15"/>
      <c r="D37" s="15"/>
      <c r="E37" s="15"/>
      <c r="F37" s="15"/>
      <c r="G37" s="15"/>
    </row>
    <row r="38" customFormat="false" ht="15" hidden="false" customHeight="false" outlineLevel="0" collapsed="false">
      <c r="B38" s="15"/>
      <c r="C38" s="15"/>
      <c r="D38" s="15"/>
      <c r="E38" s="15"/>
      <c r="F38" s="15"/>
      <c r="G38" s="15"/>
    </row>
  </sheetData>
  <mergeCells count="3">
    <mergeCell ref="B2:G2"/>
    <mergeCell ref="B3:G3"/>
    <mergeCell ref="B36:G3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4"/>
    <col collapsed="false" customWidth="true" hidden="false" outlineLevel="0" max="5" min="5" style="0" width="3"/>
    <col collapsed="false" customWidth="true" hidden="false" outlineLevel="0" max="6" min="6" style="0" width="44"/>
  </cols>
  <sheetData>
    <row r="2" customFormat="false" ht="27.75" hidden="false" customHeight="true" outlineLevel="0" collapsed="false">
      <c r="B2" s="1" t="s">
        <v>78</v>
      </c>
      <c r="C2" s="1"/>
      <c r="D2" s="1"/>
    </row>
    <row r="3" customFormat="false" ht="18" hidden="false" customHeight="true" outlineLevel="0" collapsed="false">
      <c r="B3" s="2" t="s">
        <v>79</v>
      </c>
      <c r="C3" s="2"/>
      <c r="D3" s="2"/>
    </row>
    <row r="5" customFormat="false" ht="15" hidden="false" customHeight="false" outlineLevel="0" collapsed="false">
      <c r="B5" s="34" t="s">
        <v>80</v>
      </c>
    </row>
    <row r="6" customFormat="false" ht="15" hidden="false" customHeight="false" outlineLevel="0" collapsed="false">
      <c r="B6" s="35" t="s">
        <v>81</v>
      </c>
      <c r="C6" s="9" t="n">
        <f aca="false">AVERAGE('Summary &amp; Growth'!D7:F7)</f>
        <v>0.117287595417031</v>
      </c>
    </row>
    <row r="7" customFormat="false" ht="15" hidden="false" customHeight="false" outlineLevel="0" collapsed="false">
      <c r="B7" s="35" t="s">
        <v>82</v>
      </c>
      <c r="C7" s="36" t="n">
        <f aca="false">'Summary &amp; Growth'!G13+0.015</f>
        <v>0.309062177614296</v>
      </c>
      <c r="D7" s="8" t="s">
        <v>83</v>
      </c>
    </row>
    <row r="8" customFormat="false" ht="15" hidden="false" customHeight="false" outlineLevel="0" collapsed="false">
      <c r="B8" s="35" t="s">
        <v>84</v>
      </c>
      <c r="C8" s="36" t="n">
        <v>0.955</v>
      </c>
      <c r="D8" s="8" t="s">
        <v>85</v>
      </c>
    </row>
    <row r="9" customFormat="false" ht="15" hidden="false" customHeight="false" outlineLevel="0" collapsed="false">
      <c r="B9" s="35" t="s">
        <v>86</v>
      </c>
      <c r="C9" s="36" t="n">
        <v>0.245</v>
      </c>
      <c r="D9" s="8" t="s">
        <v>87</v>
      </c>
    </row>
    <row r="10" customFormat="false" ht="15" hidden="false" customHeight="false" outlineLevel="0" collapsed="false">
      <c r="B10" s="35" t="s">
        <v>88</v>
      </c>
      <c r="C10" s="36" t="n">
        <v>0.09</v>
      </c>
      <c r="D10" s="8" t="s">
        <v>89</v>
      </c>
    </row>
    <row r="11" customFormat="false" ht="15" hidden="false" customHeight="false" outlineLevel="0" collapsed="false">
      <c r="B11" s="35" t="s">
        <v>90</v>
      </c>
      <c r="C11" s="36" t="n">
        <v>0.032</v>
      </c>
      <c r="D11" s="8" t="s">
        <v>91</v>
      </c>
    </row>
    <row r="12" customFormat="false" ht="15" hidden="false" customHeight="false" outlineLevel="0" collapsed="false">
      <c r="B12" s="35" t="s">
        <v>92</v>
      </c>
      <c r="C12" s="36" t="n">
        <v>0.11</v>
      </c>
      <c r="D12" s="8" t="s">
        <v>93</v>
      </c>
    </row>
    <row r="13" customFormat="false" ht="15" hidden="false" customHeight="false" outlineLevel="0" collapsed="false">
      <c r="B13" s="35" t="s">
        <v>94</v>
      </c>
      <c r="C13" s="31" t="n">
        <v>460</v>
      </c>
      <c r="D13" s="8" t="s">
        <v>95</v>
      </c>
    </row>
    <row r="14" customFormat="false" ht="15" hidden="false" customHeight="false" outlineLevel="0" collapsed="false">
      <c r="B14" s="35" t="s">
        <v>96</v>
      </c>
      <c r="C14" s="31" t="n">
        <v>180</v>
      </c>
      <c r="D14" s="8" t="s">
        <v>97</v>
      </c>
    </row>
    <row r="15" customFormat="false" ht="15" hidden="false" customHeight="false" outlineLevel="0" collapsed="false">
      <c r="B15" s="35" t="s">
        <v>98</v>
      </c>
      <c r="C15" s="36" t="n">
        <v>0.008</v>
      </c>
      <c r="D15" s="8" t="s">
        <v>99</v>
      </c>
    </row>
    <row r="17" customFormat="false" ht="15" hidden="false" customHeight="false" outlineLevel="0" collapsed="false">
      <c r="B17" s="34" t="s">
        <v>100</v>
      </c>
    </row>
    <row r="18" customFormat="false" ht="15" hidden="false" customHeight="false" outlineLevel="0" collapsed="false">
      <c r="B18" s="3" t="s">
        <v>2</v>
      </c>
      <c r="C18" s="3" t="s">
        <v>101</v>
      </c>
      <c r="D18" s="3" t="s">
        <v>102</v>
      </c>
    </row>
    <row r="19" customFormat="false" ht="15" hidden="false" customHeight="false" outlineLevel="0" collapsed="false">
      <c r="B19" s="37" t="s">
        <v>33</v>
      </c>
      <c r="C19" s="23" t="n">
        <f aca="false">'Summary &amp; Growth'!G6</f>
        <v>52654.32</v>
      </c>
      <c r="D19" s="23" t="n">
        <f aca="false">C19*(1+$C$6)</f>
        <v>58830.0185811189</v>
      </c>
    </row>
    <row r="20" customFormat="false" ht="15" hidden="false" customHeight="false" outlineLevel="0" collapsed="false">
      <c r="B20" s="37" t="s">
        <v>41</v>
      </c>
      <c r="C20" s="23" t="n">
        <f aca="false">'Summary &amp; Growth'!G10</f>
        <v>15483.644</v>
      </c>
      <c r="D20" s="23" t="n">
        <f aca="false">D19*$C$7</f>
        <v>18182.1336517701</v>
      </c>
    </row>
    <row r="21" customFormat="false" ht="15" hidden="false" customHeight="false" outlineLevel="0" collapsed="false">
      <c r="B21" s="37" t="s">
        <v>15</v>
      </c>
      <c r="C21" s="23" t="n">
        <f aca="false">'Summary &amp; Growth'!G15</f>
        <v>14060</v>
      </c>
      <c r="D21" s="23" t="n">
        <f aca="false">D20*$C$8</f>
        <v>17363.9376374405</v>
      </c>
    </row>
    <row r="22" customFormat="false" ht="15" hidden="false" customHeight="false" outlineLevel="0" collapsed="false">
      <c r="B22" s="8" t="s">
        <v>103</v>
      </c>
      <c r="D22" s="9" t="n">
        <f aca="false">D21/C21-1</f>
        <v>0.234988452165041</v>
      </c>
    </row>
    <row r="23" customFormat="false" ht="15" hidden="false" customHeight="false" outlineLevel="0" collapsed="false">
      <c r="B23" s="37" t="s">
        <v>54</v>
      </c>
      <c r="C23" s="23" t="n">
        <f aca="false">'Summary &amp; Growth'!G18</f>
        <v>3433</v>
      </c>
      <c r="D23" s="23" t="n">
        <f aca="false">D21*$C$9</f>
        <v>4254.16472117292</v>
      </c>
    </row>
    <row r="24" customFormat="false" ht="15" hidden="false" customHeight="false" outlineLevel="0" collapsed="false">
      <c r="B24" s="35" t="s">
        <v>55</v>
      </c>
      <c r="D24" s="13" t="n">
        <f aca="false">-D21*$C$10</f>
        <v>-1562.75438736964</v>
      </c>
    </row>
    <row r="25" customFormat="false" ht="15" hidden="false" customHeight="false" outlineLevel="0" collapsed="false">
      <c r="B25" s="35" t="s">
        <v>56</v>
      </c>
      <c r="D25" s="13" t="n">
        <f aca="false">-D21*$C$11</f>
        <v>-555.646004398095</v>
      </c>
    </row>
    <row r="26" customFormat="false" ht="15" hidden="false" customHeight="false" outlineLevel="0" collapsed="false">
      <c r="B26" s="35" t="s">
        <v>104</v>
      </c>
      <c r="D26" s="13" t="n">
        <f aca="false">-D21*$C$12</f>
        <v>-1910.03314011845</v>
      </c>
    </row>
    <row r="27" customFormat="false" ht="15" hidden="false" customHeight="false" outlineLevel="0" collapsed="false">
      <c r="B27" s="35" t="s">
        <v>105</v>
      </c>
      <c r="D27" s="13" t="n">
        <f aca="false">D21*$C$15</f>
        <v>138.911501099524</v>
      </c>
    </row>
    <row r="28" customFormat="false" ht="15" hidden="false" customHeight="false" outlineLevel="0" collapsed="false">
      <c r="B28" s="38" t="s">
        <v>106</v>
      </c>
      <c r="C28" s="39"/>
      <c r="D28" s="29" t="n">
        <f aca="false">D23+D24+D25+D26+D27</f>
        <v>364.64269038625</v>
      </c>
    </row>
    <row r="29" customFormat="false" ht="15" hidden="false" customHeight="false" outlineLevel="0" collapsed="false">
      <c r="B29" s="8" t="s">
        <v>62</v>
      </c>
      <c r="D29" s="9" t="n">
        <f aca="false">D28/D21</f>
        <v>0.021</v>
      </c>
    </row>
    <row r="30" customFormat="false" ht="15" hidden="false" customHeight="false" outlineLevel="0" collapsed="false">
      <c r="B30" s="37" t="s">
        <v>107</v>
      </c>
      <c r="C30" s="23" t="n">
        <f aca="false">'Summary &amp; Growth'!G21</f>
        <v>900.25</v>
      </c>
      <c r="D30" s="23" t="n">
        <f aca="false">D28+$C$13+$C$14</f>
        <v>1004.64269038625</v>
      </c>
    </row>
    <row r="31" customFormat="false" ht="15" hidden="false" customHeight="false" outlineLevel="0" collapsed="false">
      <c r="B31" s="8" t="s">
        <v>108</v>
      </c>
      <c r="C31" s="9" t="n">
        <f aca="false">C30/C19</f>
        <v>0.0170973625715801</v>
      </c>
      <c r="D31" s="9" t="n">
        <f aca="false">D30/D19</f>
        <v>0.0170770418676815</v>
      </c>
    </row>
    <row r="33" customFormat="false" ht="15" hidden="false" customHeight="true" outlineLevel="0" collapsed="false">
      <c r="B33" s="15" t="s">
        <v>109</v>
      </c>
      <c r="C33" s="15"/>
      <c r="D33" s="15"/>
    </row>
    <row r="34" customFormat="false" ht="15" hidden="false" customHeight="false" outlineLevel="0" collapsed="false">
      <c r="B34" s="15"/>
      <c r="C34" s="15"/>
      <c r="D34" s="15"/>
    </row>
    <row r="35" customFormat="false" ht="15" hidden="false" customHeight="false" outlineLevel="0" collapsed="false">
      <c r="B35" s="15"/>
      <c r="C35" s="15"/>
      <c r="D35" s="15"/>
    </row>
    <row r="36" customFormat="false" ht="15" hidden="false" customHeight="false" outlineLevel="0" collapsed="false">
      <c r="B36" s="15"/>
      <c r="C36" s="15"/>
      <c r="D36" s="15"/>
    </row>
    <row r="37" customFormat="false" ht="15" hidden="false" customHeight="false" outlineLevel="0" collapsed="false">
      <c r="B37" s="15"/>
      <c r="C37" s="15"/>
      <c r="D37" s="15"/>
    </row>
    <row r="39" customFormat="false" ht="15" hidden="false" customHeight="false" outlineLevel="0" collapsed="false">
      <c r="B39" s="24" t="s">
        <v>43</v>
      </c>
    </row>
    <row r="40" customFormat="false" ht="15" hidden="false" customHeight="false" outlineLevel="0" collapsed="false">
      <c r="B40" s="0" t="s">
        <v>2</v>
      </c>
      <c r="C40" s="0" t="s">
        <v>101</v>
      </c>
      <c r="D40" s="0" t="s">
        <v>102</v>
      </c>
    </row>
    <row r="41" customFormat="false" ht="15" hidden="false" customHeight="false" outlineLevel="0" collapsed="false">
      <c r="B41" s="0" t="s">
        <v>33</v>
      </c>
      <c r="C41" s="26" t="n">
        <f aca="false">C19</f>
        <v>52654.32</v>
      </c>
      <c r="D41" s="26" t="n">
        <f aca="false">D19</f>
        <v>58830.0185811189</v>
      </c>
    </row>
    <row r="42" customFormat="false" ht="15" hidden="false" customHeight="false" outlineLevel="0" collapsed="false">
      <c r="B42" s="0" t="s">
        <v>41</v>
      </c>
      <c r="C42" s="26" t="n">
        <f aca="false">C20</f>
        <v>15483.644</v>
      </c>
      <c r="D42" s="26" t="n">
        <f aca="false">D20</f>
        <v>18182.1336517701</v>
      </c>
    </row>
    <row r="43" customFormat="false" ht="15" hidden="false" customHeight="false" outlineLevel="0" collapsed="false">
      <c r="B43" s="0" t="s">
        <v>18</v>
      </c>
      <c r="C43" s="26" t="n">
        <f aca="false">C30</f>
        <v>900.25</v>
      </c>
      <c r="D43" s="26" t="n">
        <f aca="false">D30</f>
        <v>1004.64269038625</v>
      </c>
    </row>
  </sheetData>
  <mergeCells count="3">
    <mergeCell ref="B2:D2"/>
    <mergeCell ref="B3:D3"/>
    <mergeCell ref="B33:D3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95"/>
  </cols>
  <sheetData>
    <row r="2" customFormat="false" ht="27.75" hidden="false" customHeight="true" outlineLevel="0" collapsed="false">
      <c r="B2" s="1" t="s">
        <v>110</v>
      </c>
      <c r="C2" s="1"/>
    </row>
    <row r="4" customFormat="false" ht="60" hidden="false" customHeight="true" outlineLevel="0" collapsed="false">
      <c r="B4" s="40" t="s">
        <v>111</v>
      </c>
      <c r="C4" s="41" t="s">
        <v>112</v>
      </c>
    </row>
    <row r="5" customFormat="false" ht="60" hidden="false" customHeight="true" outlineLevel="0" collapsed="false">
      <c r="B5" s="40" t="s">
        <v>113</v>
      </c>
      <c r="C5" s="41" t="s">
        <v>114</v>
      </c>
    </row>
    <row r="6" customFormat="false" ht="60" hidden="false" customHeight="true" outlineLevel="0" collapsed="false">
      <c r="B6" s="40" t="s">
        <v>7</v>
      </c>
      <c r="C6" s="41" t="s">
        <v>115</v>
      </c>
    </row>
    <row r="7" customFormat="false" ht="60" hidden="false" customHeight="true" outlineLevel="0" collapsed="false">
      <c r="B7" s="40" t="s">
        <v>116</v>
      </c>
      <c r="C7" s="41" t="s">
        <v>117</v>
      </c>
    </row>
    <row r="8" customFormat="false" ht="60" hidden="false" customHeight="true" outlineLevel="0" collapsed="false">
      <c r="B8" s="40" t="s">
        <v>118</v>
      </c>
      <c r="C8" s="41" t="s">
        <v>119</v>
      </c>
    </row>
    <row r="10" customFormat="false" ht="15" hidden="false" customHeight="false" outlineLevel="0" collapsed="false">
      <c r="B10" s="34" t="s">
        <v>120</v>
      </c>
    </row>
    <row r="11" customFormat="false" ht="30" hidden="false" customHeight="true" outlineLevel="0" collapsed="false">
      <c r="B11" s="35" t="s">
        <v>121</v>
      </c>
      <c r="C11" s="41" t="s">
        <v>122</v>
      </c>
    </row>
    <row r="12" customFormat="false" ht="30" hidden="false" customHeight="true" outlineLevel="0" collapsed="false">
      <c r="B12" s="35" t="s">
        <v>121</v>
      </c>
      <c r="C12" s="41" t="s">
        <v>123</v>
      </c>
    </row>
    <row r="13" customFormat="false" ht="30" hidden="false" customHeight="true" outlineLevel="0" collapsed="false">
      <c r="B13" s="35" t="s">
        <v>121</v>
      </c>
      <c r="C13" s="41" t="s">
        <v>124</v>
      </c>
    </row>
    <row r="14" customFormat="false" ht="30" hidden="false" customHeight="true" outlineLevel="0" collapsed="false">
      <c r="B14" s="35" t="s">
        <v>121</v>
      </c>
      <c r="C14" s="41" t="s">
        <v>125</v>
      </c>
    </row>
  </sheetData>
  <mergeCells count="1">
    <mergeCell ref="B2:C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2026-08-17T16:59:31Z</dcterms:created>
  <dc:creator>openpyxl</dc:creator>
  <dc:description/>
  <dc:language>en-US</dc:language>
  <cp:lastModifiedBy/>
  <dcterms:modified xsi:type="dcterms:W3CDTF">2026-08-17T16:59:31Z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