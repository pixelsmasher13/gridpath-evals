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5" authorId="0">
      <text>
        <r>
          <t>FY2021 reconciling plug = Total Revenue (5,856) less Commission, Delivery, Dmarts, Payment fees and Voucher deductions for FY2021 — the only stream-level detail disclosed that year (959.7).</t>
        </r>
      </text>
    </comment>
    <comment ref="E52" authorId="0">
      <text>
        <r>
          <t>FY2026E GMV growth = midpoint of company's 8–10% YoY LfL constant-currency guidance (issued 27-Feb-2026, reaffirmed 26-Mar-2026).</t>
        </r>
      </text>
    </comment>
    <comment ref="E55" authorId="0">
      <text>
        <r>
          <t>FY2026E Total Segment Revenue growth = midpoint of company's 14–16% YoY LfL constant-currency guidance.</t>
        </r>
      </text>
    </comment>
    <comment ref="D56" authorId="0">
      <text>
        <r>
          <t>Company disclosed FY2025 Adjusted EBITDA only as "&gt;€900 million" in the 27-Feb-2026 preliminary release. Shown as floor value; precise audited figure not located in sourced material.</t>
        </r>
      </text>
    </comment>
    <comment ref="E56" authorId="0">
      <text>
        <r>
          <t>FY2026E Adjusted EBITDA = midpoint of company guidance range €910–960 million.</t>
        </r>
      </text>
    </comment>
    <comment ref="D59" authorId="0">
      <text>
        <r>
          <t>Company disclosed FY2025 Free Cash Flow (new definition) only as "&gt;€200 million". Shown as floor value.</t>
        </r>
      </text>
    </comment>
    <comment ref="E59" authorId="0">
      <text>
        <r>
          <t>FY2026E Free Cash Flow = company guidance of "more than €200 million" (management commentary: "slightly above €200 million").</t>
        </r>
      </text>
    </comment>
  </commentList>
</comments>
</file>

<file path=xl/sharedStrings.xml><?xml version="1.0" encoding="utf-8"?>
<sst xmlns="http://schemas.openxmlformats.org/spreadsheetml/2006/main" count="86" uniqueCount="68">
  <si>
    <t>Delivery Hero SE (ETR: DHER) — Consolidated Income Statement &amp; Growth Analysis</t>
  </si>
  <si>
    <t>€ in millions unless noted  |  Fiscal Year Jan–Dec  |  IFRS consolidated figures; FY2025 reflects preliminary full-year results (reported 27-Feb-2026)</t>
  </si>
  <si>
    <t>PENDING TRANSACTION: Uber Technologies agreed (16-Jul-2026) to acquire Delivery Hero for €41.50/share cash (~$14.8bn equity value); expected to close H2 2027. Figures below are Delivery Hero standalone.</t>
  </si>
  <si>
    <t>I. Consolidated Income Statement (IFRS, € in millions)</t>
  </si>
  <si>
    <t>FY2021A</t>
  </si>
  <si>
    <t>FY2022A</t>
  </si>
  <si>
    <t>FY2023A</t>
  </si>
  <si>
    <t>FY2024A</t>
  </si>
  <si>
    <t>FY2025A</t>
  </si>
  <si>
    <t>FY22 YoY%</t>
  </si>
  <si>
    <t>FY23 YoY%</t>
  </si>
  <si>
    <t>FY24 YoY%</t>
  </si>
  <si>
    <t>FY25 YoY%</t>
  </si>
  <si>
    <t>CAGR '21-'25</t>
  </si>
  <si>
    <t>Commission fees</t>
  </si>
  <si>
    <t>Delivery fees</t>
  </si>
  <si>
    <t>Dmarts (Quick Commerce / retail)</t>
  </si>
  <si>
    <t>Advertising &amp; listing fees</t>
  </si>
  <si>
    <t>Service fees</t>
  </si>
  <si>
    <t>Payment fees</t>
  </si>
  <si>
    <t>Subscription fees</t>
  </si>
  <si>
    <t>Other segment revenue</t>
  </si>
  <si>
    <t>Advertising / Service / Subscription / Other (not separately disclosed, FY2021 only)</t>
  </si>
  <si>
    <t>Less: Voucher deductions</t>
  </si>
  <si>
    <t>Total Revenue</t>
  </si>
  <si>
    <t>Cost of revenue (derived)</t>
  </si>
  <si>
    <t>Gross Profit</t>
  </si>
  <si>
    <t>Gross margin %</t>
  </si>
  <si>
    <t>Operating expenses (derived)</t>
  </si>
  <si>
    <t>Operating Income (EBIT)</t>
  </si>
  <si>
    <t>n/m</t>
  </si>
  <si>
    <t>Operating margin %</t>
  </si>
  <si>
    <t>Net financial &amp; tax items, net (derived)</t>
  </si>
  <si>
    <t>Net Income (Loss)</t>
  </si>
  <si>
    <t>Net margin %</t>
  </si>
  <si>
    <t>Diluted EPS (€)</t>
  </si>
  <si>
    <t>Diluted shares outstanding (mm, derived)</t>
  </si>
  <si>
    <t>II. Revenue Mix (% of Total Revenue)</t>
  </si>
  <si>
    <t>Advertising / Service / Subscription / Other (FY2021 only)</t>
  </si>
  <si>
    <t>Total (check, should = 100%)</t>
  </si>
  <si>
    <t>III. Company-Reported Non-GAAP KPIs &amp; FY2026 Guidance</t>
  </si>
  <si>
    <t>FY2026E (Guidance Midpoint)</t>
  </si>
  <si>
    <t>Guidance Range (as disclosed)</t>
  </si>
  <si>
    <t>Gross Merchandise Value (GMV, €bn)</t>
  </si>
  <si>
    <t>8–10% LfL growth guided</t>
  </si>
  <si>
    <t>GMV growth % YoY (reported, current FX)</t>
  </si>
  <si>
    <t>GMV growth % YoY (LfL, constant currency — company disclosed)</t>
  </si>
  <si>
    <t>8–10%</t>
  </si>
  <si>
    <t>Total Segment Revenue (€bn)</t>
  </si>
  <si>
    <t>14–16% LfL growth guided</t>
  </si>
  <si>
    <t>Total Segment Revenue growth % YoY (reported, current FX)</t>
  </si>
  <si>
    <t>Total Segment Revenue growth % YoY (LfL, constant currency — company disclosed)</t>
  </si>
  <si>
    <t>14–16%</t>
  </si>
  <si>
    <t>Adjusted EBITDA (€mm)</t>
  </si>
  <si>
    <t>€910–960m guided</t>
  </si>
  <si>
    <t>Adjusted EBITDA growth % YoY</t>
  </si>
  <si>
    <t>Adjusted EBITDA margin (% of GMV)</t>
  </si>
  <si>
    <t>Free Cash Flow — company definition (€mm)</t>
  </si>
  <si>
    <t>&gt;€200m guided (slightly above)</t>
  </si>
  <si>
    <t>IV. Notes &amp; Sources</t>
  </si>
  <si>
    <t>1. Reported (IFRS) Revenue differs from the company's non-GAAP "Total Segment Revenue" (TSR) — revenue before reduction of vouchers and certain reconciliation adjustments. Both are shown for transparency.</t>
  </si>
  <si>
    <t>2. Cost of Revenue and Operating Expenses are single reconciling (derived) lines — the residual between reported Revenue, Gross Profit and Operating Income; granular opex detail (marketing, G&amp;A, personnel) was not available in the sourced dataset.</t>
  </si>
  <si>
    <t>3. Net financial &amp; tax items (derived) = Net Income − Operating Income; combines net finance costs, FX/hyperinflation effects, equity-method results and income tax in one residual line.</t>
  </si>
  <si>
    <t>4. FY2021 revenue detail: Advertising, Service, Subscription and Other Segment revenue were not separately disclosed that year; shown combined as one reconciling line so FY2021 still ties exactly to reported Total Revenue.</t>
  </si>
  <si>
    <t>5. Growth % (and CAGR) for loss-making lines (Operating Income, Net Income, derived expense lines) divides by the ABSOLUTE VALUE of the prior-year base to avoid sign inversion: positive = improvement (smaller loss / higher profit), negative = deterioration.</t>
  </si>
  <si>
    <t>6. FY2026E figures are company GUIDANCE-based estimates (issued 27-Feb-2026, reaffirmed 26-Mar-2026), not GridPath projections: Adj. EBITDA €910–960m; GMV growth +8–10% LfL; Total Segment Revenue growth +14–16% LfL constant currency; Free Cash Flow &gt;€200m.</t>
  </si>
  <si>
    <t>7. Pending transaction: Uber Technologies agreed (16-Jul-2026) to acquire Delivery Hero for €41.50/share cash, ~$14.8bn equity value; expected to close H2 2027. Not reflected in figures above.</t>
  </si>
  <si>
    <t>Sources: Delivery Hero FY2025 trading update &amp; press release (27-Feb-2026); stockanalysis.com company financials, S&amp;P Global Market Intelligence (through FY2025); Reuters/Investing.com/RTTNews FY2025 earnings coverage (26–27-Feb-2026); Uber Technologies 8-K &amp; press release (16-Jul-2026).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</si>
</sst>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;(#,##0.0);-"/>
    <numFmt numFmtId="165" formatCode="0.0%;(0.0%);-"/>
    <numFmt numFmtId="166" formatCode="€#,##0.00;(€#,##0.00)"/>
    <numFmt numFmtId="167" formatCode="#,##0.0"/>
    <numFmt numFmtId="168" formatCode="#,##0;(#,##0);-"/>
  </numFmts>
  <fonts count="11" x14ac:knownFonts="1">
    <font>
      <color theme="1"/>
      <family val="2"/>
      <scheme val="minor"/>
      <sz val="11"/>
      <name val="Calibri"/>
    </font>
    <font>
      <b/>
      <color rgb="FF1F4E79"/>
      <sz val="16"/>
    </font>
    <font>
      <i/>
      <color rgb="FF555555"/>
      <sz val="10"/>
    </font>
    <font>
      <b/>
      <color rgb="FF7F6000"/>
    </font>
    <font>
      <b/>
      <color rgb="FFFFFFFF"/>
    </font>
    <font>
      <b/>
    </font>
    <font>
      <color rgb="FF0000FF"/>
    </font>
    <font>
      <b/>
      <color rgb="FF0000FF"/>
    </font>
    <font>
      <b/>
      <i/>
    </font>
    <font>
      <i/>
      <color rgb="FF666666"/>
    </font>
    <font>
      <i/>
      <color rgb="FF444444"/>
      <sz val="9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5" fillId="4" borderId="0" xfId="0" applyFont="1" applyFill="1" applyAlignment="1">
      <alignment horizontal="center"/>
    </xf>
    <xf numFmtId="0" fontId="0" fillId="0" borderId="0" xfId="0" applyAlignment="1">
      <alignment wrapText="1"/>
    </xf>
    <xf numFmtId="164" fontId="6" fillId="0" borderId="0" xfId="0" applyNumberFormat="1" applyFont="1"/>
    <xf numFmtId="165" fontId="0" fillId="0" borderId="0" xfId="0" applyNumberFormat="1"/>
    <xf numFmtId="0" fontId="5" fillId="5" borderId="0" xfId="0" applyFont="1" applyFill="1" applyAlignment="1">
      <alignment wrapText="1"/>
    </xf>
    <xf numFmtId="164" fontId="5" fillId="5" borderId="0" xfId="0" applyNumberFormat="1" applyFont="1" applyFill="1"/>
    <xf numFmtId="165" fontId="5" fillId="5" borderId="0" xfId="0" applyNumberFormat="1" applyFont="1" applyFill="1"/>
    <xf numFmtId="164" fontId="0" fillId="0" borderId="0" xfId="0" applyNumberFormat="1"/>
    <xf numFmtId="164" fontId="7" fillId="5" borderId="0" xfId="0" applyNumberFormat="1" applyFont="1" applyFill="1"/>
    <xf numFmtId="166" fontId="6" fillId="0" borderId="0" xfId="0" applyNumberFormat="1" applyFont="1"/>
    <xf numFmtId="167" fontId="0" fillId="0" borderId="0" xfId="0" applyNumberFormat="1"/>
    <xf numFmtId="0" fontId="8" fillId="6" borderId="0" xfId="0" applyFont="1" applyFill="1" applyAlignment="1">
      <alignment wrapText="1"/>
    </xf>
    <xf numFmtId="165" fontId="8" fillId="6" borderId="0" xfId="0" applyNumberFormat="1" applyFont="1" applyFill="1"/>
    <xf numFmtId="0" fontId="8" fillId="6" borderId="0" xfId="0" applyFont="1" applyFill="1"/>
    <xf numFmtId="167" fontId="6" fillId="0" borderId="0" xfId="0" applyNumberFormat="1" applyFont="1"/>
    <xf numFmtId="0" fontId="9" fillId="0" borderId="0" xfId="0" applyFont="1"/>
    <xf numFmtId="165" fontId="6" fillId="0" borderId="0" xfId="0" applyNumberFormat="1" applyFont="1"/>
    <xf numFmtId="168" fontId="6" fillId="0" borderId="0" xfId="0" applyNumberFormat="1" applyFont="1"/>
    <xf numFmtId="168" fontId="0" fillId="0" borderId="0" xfId="0" applyNumberFormat="1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53.57142857142857" customWidth="1"/>
    <col min="2" max="6" width="12.857142857142858" customWidth="1"/>
    <col min="7" max="11" width="10.428571428571429" customWidth="1"/>
  </cols>
  <sheetData>
    <row r="1" ht="18.004501125281323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.50562640660165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.00750187546887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5"/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</row>
    <row r="7" spans="1:11" x14ac:dyDescent="0.25">
      <c r="A7" s="6" t="s">
        <v>14</v>
      </c>
      <c r="B7" s="7">
        <v>3001</v>
      </c>
      <c r="C7" s="7">
        <v>3681</v>
      </c>
      <c r="D7" s="7">
        <v>4099</v>
      </c>
      <c r="E7" s="7">
        <v>5093</v>
      </c>
      <c r="F7" s="7">
        <v>5791</v>
      </c>
      <c r="G7" s="8">
        <f>IFERROR((C7-B7)/ABS(B7),"")</f>
        <v>0.22659113628790403</v>
      </c>
      <c r="H7" s="8">
        <f>IFERROR((D7-C7)/ABS(C7),"")</f>
        <v>0.11355609888617224</v>
      </c>
      <c r="I7" s="8">
        <f>IFERROR((E7-D7)/ABS(D7),"")</f>
        <v>0.24249817028543547</v>
      </c>
      <c r="J7" s="8">
        <f>IFERROR((F7-E7)/ABS(E7),"")</f>
        <v>0.1370508541134891</v>
      </c>
      <c r="K7" s="8">
        <f>IFERROR((F7/B7)^(1/4)-1,"n/m")</f>
        <v>0.1786148056952821</v>
      </c>
    </row>
    <row r="8" spans="1:11" x14ac:dyDescent="0.25">
      <c r="A8" s="6" t="s">
        <v>15</v>
      </c>
      <c r="B8" s="7">
        <v>1414</v>
      </c>
      <c r="C8" s="7">
        <v>2202</v>
      </c>
      <c r="D8" s="7">
        <v>2423</v>
      </c>
      <c r="E8" s="7">
        <v>2966</v>
      </c>
      <c r="F8" s="7">
        <v>3309</v>
      </c>
      <c r="G8" s="8">
        <f>IFERROR((C8-B8)/ABS(B8),"")</f>
        <v>0.5572842998585573</v>
      </c>
      <c r="H8" s="8">
        <f>IFERROR((D8-C8)/ABS(C8),"")</f>
        <v>0.10036330608537693</v>
      </c>
      <c r="I8" s="8">
        <f>IFERROR((E8-D8)/ABS(D8),"")</f>
        <v>0.2241023524556335</v>
      </c>
      <c r="J8" s="8">
        <f>IFERROR((F8-E8)/ABS(E8),"")</f>
        <v>0.11564396493594066</v>
      </c>
      <c r="K8" s="8">
        <f>IFERROR((F8/B8)^(1/4)-1,"n/m")</f>
        <v>0.2368352078871856</v>
      </c>
    </row>
    <row r="9" spans="1:11" x14ac:dyDescent="0.25">
      <c r="A9" s="6" t="s">
        <v>16</v>
      </c>
      <c r="B9" s="7">
        <v>848.3</v>
      </c>
      <c r="C9" s="7">
        <v>1560</v>
      </c>
      <c r="D9" s="7">
        <v>1948</v>
      </c>
      <c r="E9" s="7">
        <v>2445</v>
      </c>
      <c r="F9" s="7">
        <v>2888</v>
      </c>
      <c r="G9" s="8">
        <f>IFERROR((C9-B9)/ABS(B9),"")</f>
        <v>0.8389720617706001</v>
      </c>
      <c r="H9" s="8">
        <f>IFERROR((D9-C9)/ABS(C9),"")</f>
        <v>0.24871794871794872</v>
      </c>
      <c r="I9" s="8">
        <f>IFERROR((E9-D9)/ABS(D9),"")</f>
        <v>0.2551334702258727</v>
      </c>
      <c r="J9" s="8">
        <f>IFERROR((F9-E9)/ABS(E9),"")</f>
        <v>0.18118609406952965</v>
      </c>
      <c r="K9" s="8">
        <f>IFERROR((F9/B9)^(1/4)-1,"n/m")</f>
        <v>0.3583507612353991</v>
      </c>
    </row>
    <row r="10" spans="1:11" x14ac:dyDescent="0.25">
      <c r="A10" s="6" t="s">
        <v>17</v>
      </c>
      <c r="B10" s="7"/>
      <c r="C10" s="7">
        <v>1043</v>
      </c>
      <c r="D10" s="7">
        <v>1260</v>
      </c>
      <c r="E10" s="7">
        <v>1438</v>
      </c>
      <c r="F10" s="7">
        <v>1460</v>
      </c>
      <c r="G10" s="8">
        <f>IFERROR((C10-B10)/ABS(B10),"")</f>
      </c>
      <c r="H10" s="8">
        <f>IFERROR((D10-C10)/ABS(C10),"")</f>
        <v>0.2080536912751678</v>
      </c>
      <c r="I10" s="8">
        <f>IFERROR((E10-D10)/ABS(D10),"")</f>
        <v>0.14126984126984127</v>
      </c>
      <c r="J10" s="8">
        <f>IFERROR((F10-E10)/ABS(E10),"")</f>
        <v>0.015299026425591099</v>
      </c>
      <c r="K10" s="8" t="str">
        <f>IFERROR((F10/B10)^(1/4)-1,"n/m")</f>
        <v>n/m</v>
      </c>
    </row>
    <row r="11" spans="1:11" x14ac:dyDescent="0.25">
      <c r="A11" s="6" t="s">
        <v>18</v>
      </c>
      <c r="B11" s="7"/>
      <c r="C11" s="7">
        <v>91.4</v>
      </c>
      <c r="D11" s="7">
        <v>197.8</v>
      </c>
      <c r="E11" s="7">
        <v>322.8</v>
      </c>
      <c r="F11" s="7">
        <v>601</v>
      </c>
      <c r="G11" s="8">
        <f>IFERROR((C11-B11)/ABS(B11),"")</f>
      </c>
      <c r="H11" s="8">
        <f>IFERROR((D11-C11)/ABS(C11),"")</f>
        <v>1.1641137855579868</v>
      </c>
      <c r="I11" s="8">
        <f>IFERROR((E11-D11)/ABS(D11),"")</f>
        <v>0.6319514661274014</v>
      </c>
      <c r="J11" s="8">
        <f>IFERROR((F11-E11)/ABS(E11),"")</f>
        <v>0.8618339529120198</v>
      </c>
      <c r="K11" s="8" t="str">
        <f>IFERROR((F11/B11)^(1/4)-1,"n/m")</f>
        <v>n/m</v>
      </c>
    </row>
    <row r="12" spans="1:11" x14ac:dyDescent="0.25">
      <c r="A12" s="6" t="s">
        <v>19</v>
      </c>
      <c r="B12" s="7">
        <v>407.6</v>
      </c>
      <c r="C12" s="7">
        <v>509.9</v>
      </c>
      <c r="D12" s="7">
        <v>530.4</v>
      </c>
      <c r="E12" s="7">
        <v>559.7</v>
      </c>
      <c r="F12" s="7">
        <v>540.8</v>
      </c>
      <c r="G12" s="8">
        <f>IFERROR((C12-B12)/ABS(B12),"")</f>
        <v>0.25098135426889095</v>
      </c>
      <c r="H12" s="8">
        <f>IFERROR((D12-C12)/ABS(C12),"")</f>
        <v>0.040203961561090414</v>
      </c>
      <c r="I12" s="8">
        <f>IFERROR((E12-D12)/ABS(D12),"")</f>
        <v>0.05524132730015096</v>
      </c>
      <c r="J12" s="8">
        <f>IFERROR((F12-E12)/ABS(E12),"")</f>
        <v>-0.03376809004824029</v>
      </c>
      <c r="K12" s="8">
        <f>IFERROR((F12/B12)^(1/4)-1,"n/m")</f>
        <v>0.07324933214089513</v>
      </c>
    </row>
    <row r="13" spans="1:11" x14ac:dyDescent="0.25">
      <c r="A13" s="6" t="s">
        <v>20</v>
      </c>
      <c r="B13" s="7"/>
      <c r="C13" s="7">
        <v>49.5</v>
      </c>
      <c r="D13" s="7">
        <v>91.4</v>
      </c>
      <c r="E13" s="7">
        <v>139.6</v>
      </c>
      <c r="F13" s="7">
        <v>256.9</v>
      </c>
      <c r="G13" s="8">
        <f>IFERROR((C13-B13)/ABS(B13),"")</f>
      </c>
      <c r="H13" s="8">
        <f>IFERROR((D13-C13)/ABS(C13),"")</f>
        <v>0.8464646464646466</v>
      </c>
      <c r="I13" s="8">
        <f>IFERROR((E13-D13)/ABS(D13),"")</f>
        <v>0.5273522975929976</v>
      </c>
      <c r="J13" s="8">
        <f>IFERROR((F13-E13)/ABS(E13),"")</f>
        <v>0.8402578796561604</v>
      </c>
      <c r="K13" s="8" t="str">
        <f>IFERROR((F13/B13)^(1/4)-1,"n/m")</f>
        <v>n/m</v>
      </c>
    </row>
    <row r="14" spans="1:11" x14ac:dyDescent="0.25">
      <c r="A14" s="6" t="s">
        <v>21</v>
      </c>
      <c r="B14" s="7"/>
      <c r="C14" s="7">
        <v>236.2</v>
      </c>
      <c r="D14" s="7">
        <v>242.2</v>
      </c>
      <c r="E14" s="7">
        <v>214.6</v>
      </c>
      <c r="F14" s="7">
        <v>151.2</v>
      </c>
      <c r="G14" s="8">
        <f>IFERROR((C14-B14)/ABS(B14),"")</f>
      </c>
      <c r="H14" s="8">
        <f>IFERROR((D14-C14)/ABS(C14),"")</f>
        <v>0.02540220152413209</v>
      </c>
      <c r="I14" s="8">
        <f>IFERROR((E14-D14)/ABS(D14),"")</f>
        <v>-0.1139554087530966</v>
      </c>
      <c r="J14" s="8">
        <f>IFERROR((F14-E14)/ABS(E14),"")</f>
        <v>-0.2954333643988817</v>
      </c>
      <c r="K14" s="8" t="str">
        <f>IFERROR((F14/B14)^(1/4)-1,"n/m")</f>
        <v>n/m</v>
      </c>
    </row>
    <row r="15" ht="27.00675168792198" customHeight="1" spans="1:11" x14ac:dyDescent="0.25">
      <c r="A15" s="6" t="s">
        <v>22</v>
      </c>
      <c r="B15" s="7">
        <v>959.7</v>
      </c>
      <c r="C15" s="7"/>
      <c r="D15" s="7"/>
      <c r="E15" s="7"/>
      <c r="F15" s="7"/>
      <c r="G15" s="8"/>
      <c r="H15" s="8"/>
      <c r="I15" s="8"/>
      <c r="J15" s="8"/>
      <c r="K15" s="8"/>
    </row>
    <row r="16" spans="1:11" x14ac:dyDescent="0.25">
      <c r="A16" s="6" t="s">
        <v>23</v>
      </c>
      <c r="B16" s="7">
        <v>-774.6</v>
      </c>
      <c r="C16" s="7">
        <v>-794.8</v>
      </c>
      <c r="D16" s="7">
        <v>-849.8</v>
      </c>
      <c r="E16" s="7">
        <v>-884.1</v>
      </c>
      <c r="F16" s="7">
        <v>-937.8</v>
      </c>
      <c r="G16" s="8">
        <f>IFERROR((C16-B16)/ABS(B16),"")</f>
        <v>-0.026077975729408637</v>
      </c>
      <c r="H16" s="8">
        <f>IFERROR((D16-C16)/ABS(C16),"")</f>
        <v>-0.06919979869149472</v>
      </c>
      <c r="I16" s="8">
        <f>IFERROR((E16-D16)/ABS(D16),"")</f>
        <v>-0.040362438220757905</v>
      </c>
      <c r="J16" s="8">
        <f>IFERROR((F16-E16)/ABS(E16),"")</f>
        <v>-0.06073973532405828</v>
      </c>
      <c r="K16" s="8">
        <f>IFERROR((F16/B16)^(1/4)-1,"n/m")</f>
        <v>0.04895820393072392</v>
      </c>
    </row>
    <row r="17" spans="1:11" x14ac:dyDescent="0.25">
      <c r="A17" s="9" t="s">
        <v>24</v>
      </c>
      <c r="B17" s="10">
        <f>SUM(B7:B16)</f>
        <v>5856</v>
      </c>
      <c r="C17" s="10">
        <f>SUM(C7:C16)</f>
        <v>8578.2</v>
      </c>
      <c r="D17" s="10">
        <f>SUM(D7:D16)</f>
        <v>9942</v>
      </c>
      <c r="E17" s="10">
        <f>SUM(E7:E16)</f>
        <v>12294.6</v>
      </c>
      <c r="F17" s="10">
        <f>SUM(F7:F16)</f>
        <v>14060.1</v>
      </c>
      <c r="G17" s="11">
        <f>IFERROR((C17-B17)/ABS(B17),"")</f>
        <v>0.4648565573770493</v>
      </c>
      <c r="H17" s="11">
        <f>IFERROR((D17-C17)/ABS(C17),"")</f>
        <v>0.1589844023221654</v>
      </c>
      <c r="I17" s="11">
        <f>IFERROR((E17-D17)/ABS(D17),"")</f>
        <v>0.2366324683162342</v>
      </c>
      <c r="J17" s="11">
        <f>IFERROR((F17-E17)/ABS(E17),"")</f>
        <v>0.14359962910546092</v>
      </c>
      <c r="K17" s="11">
        <f>IFERROR((F17/B17)^(1/4)-1,"n/m")</f>
        <v>0.24479213422881307</v>
      </c>
    </row>
    <row r="18" spans="1:11" x14ac:dyDescent="0.25">
      <c r="A18" s="6"/>
      <c r="G18" s="8"/>
      <c r="H18" s="8"/>
      <c r="I18" s="8"/>
      <c r="J18" s="8"/>
      <c r="K18" s="8"/>
    </row>
    <row r="19" spans="1:11" x14ac:dyDescent="0.25">
      <c r="A19" s="6" t="s">
        <v>25</v>
      </c>
      <c r="B19" s="12">
        <f>B20-B17</f>
        <v>-4598</v>
      </c>
      <c r="C19" s="12">
        <f>C20-C17</f>
        <v>-6346.200000000001</v>
      </c>
      <c r="D19" s="12">
        <f>D20-D17</f>
        <v>-6969</v>
      </c>
      <c r="E19" s="12">
        <f>E20-E17</f>
        <v>-8965.6</v>
      </c>
      <c r="F19" s="12">
        <f>F20-F17</f>
        <v>-10627.1</v>
      </c>
      <c r="G19" s="8">
        <f>IFERROR((C19-B19)/ABS(B19),"")</f>
        <v>-0.3802087864288823</v>
      </c>
      <c r="H19" s="8">
        <f>IFERROR((D19-C19)/ABS(C19),"")</f>
        <v>-0.09813746809114103</v>
      </c>
      <c r="I19" s="8">
        <f>IFERROR((E19-D19)/ABS(D19),"")</f>
        <v>-0.2864973453867126</v>
      </c>
      <c r="J19" s="8">
        <f>IFERROR((F19-E19)/ABS(E19),"")</f>
        <v>-0.18531944320513963</v>
      </c>
      <c r="K19" s="8">
        <f>IFERROR((F19/B19)^(1/4)-1,"n/m")</f>
        <v>0.2329953821985873</v>
      </c>
    </row>
    <row r="20" spans="1:11" x14ac:dyDescent="0.25">
      <c r="A20" s="9" t="s">
        <v>26</v>
      </c>
      <c r="B20" s="13">
        <v>1258</v>
      </c>
      <c r="C20" s="13">
        <v>2232</v>
      </c>
      <c r="D20" s="13">
        <v>2973</v>
      </c>
      <c r="E20" s="13">
        <v>3329</v>
      </c>
      <c r="F20" s="13">
        <v>3433</v>
      </c>
      <c r="G20" s="11">
        <f>IFERROR((C20-B20)/ABS(B20),"")</f>
        <v>0.7742448330683624</v>
      </c>
      <c r="H20" s="11">
        <f>IFERROR((D20-C20)/ABS(C20),"")</f>
        <v>0.33198924731182794</v>
      </c>
      <c r="I20" s="11">
        <f>IFERROR((E20-D20)/ABS(D20),"")</f>
        <v>0.11974436596030945</v>
      </c>
      <c r="J20" s="11">
        <f>IFERROR((F20-E20)/ABS(E20),"")</f>
        <v>0.031240612796635626</v>
      </c>
      <c r="K20" s="11">
        <f>IFERROR((F20/B20)^(1/4)-1,"n/m")</f>
        <v>0.2852816009534269</v>
      </c>
    </row>
    <row r="21" spans="1:11" x14ac:dyDescent="0.25">
      <c r="A21" s="6" t="s">
        <v>27</v>
      </c>
      <c r="B21" s="8">
        <f>IFERROR(B20/B17,"")</f>
        <v>0.2148224043715847</v>
      </c>
      <c r="C21" s="8">
        <f>IFERROR(C20/C17,"")</f>
        <v>0.26019444638735395</v>
      </c>
      <c r="D21" s="8">
        <f>IFERROR(D20/D17,"")</f>
        <v>0.29903439951719973</v>
      </c>
      <c r="E21" s="8">
        <f>IFERROR(E20/E17,"")</f>
        <v>0.2707692808224749</v>
      </c>
      <c r="F21" s="8">
        <f>IFERROR(F20/F17,"")</f>
        <v>0.2441661154614832</v>
      </c>
      <c r="G21" s="8"/>
      <c r="H21" s="8"/>
      <c r="I21" s="8"/>
      <c r="J21" s="8"/>
      <c r="K21" s="8"/>
    </row>
    <row r="22" spans="1:11" x14ac:dyDescent="0.25">
      <c r="A22" s="6"/>
      <c r="G22" s="8"/>
      <c r="H22" s="8"/>
      <c r="I22" s="8"/>
      <c r="J22" s="8"/>
      <c r="K22" s="8"/>
    </row>
    <row r="23" spans="1:11" x14ac:dyDescent="0.25">
      <c r="A23" s="6" t="s">
        <v>28</v>
      </c>
      <c r="B23" s="12">
        <f>B24-B20</f>
        <v>-2917</v>
      </c>
      <c r="C23" s="12">
        <f>C24-C20</f>
        <v>-3669</v>
      </c>
      <c r="D23" s="12">
        <f>D24-D20</f>
        <v>-3680.4</v>
      </c>
      <c r="E23" s="12">
        <f>E24-E20</f>
        <v>-3590.2</v>
      </c>
      <c r="F23" s="12">
        <f>F24-F20</f>
        <v>-3339.3</v>
      </c>
      <c r="G23" s="8">
        <f>IFERROR((C23-B23)/ABS(B23),"")</f>
        <v>-0.2577991086732945</v>
      </c>
      <c r="H23" s="8">
        <f>IFERROR((D23-C23)/ABS(C23),"")</f>
        <v>-0.003107113654946877</v>
      </c>
      <c r="I23" s="8">
        <f>IFERROR((E23-D23)/ABS(D23),"")</f>
        <v>0.024508205629822918</v>
      </c>
      <c r="J23" s="8">
        <f>IFERROR((F23-E23)/ABS(E23),"")</f>
        <v>0.06988468608991133</v>
      </c>
      <c r="K23" s="8">
        <f>IFERROR((F23/B23)^(1/4)-1,"n/m")</f>
        <v>0.034379136206613925</v>
      </c>
    </row>
    <row r="24" spans="1:11" x14ac:dyDescent="0.25">
      <c r="A24" s="9" t="s">
        <v>29</v>
      </c>
      <c r="B24" s="13">
        <v>-1659</v>
      </c>
      <c r="C24" s="13">
        <v>-1437</v>
      </c>
      <c r="D24" s="13">
        <v>-707.4</v>
      </c>
      <c r="E24" s="13">
        <v>-261.2</v>
      </c>
      <c r="F24" s="13">
        <v>93.7</v>
      </c>
      <c r="G24" s="11">
        <f>IFERROR((C24-B24)/ABS(B24),"")</f>
        <v>0.13381555153707053</v>
      </c>
      <c r="H24" s="11">
        <f>IFERROR((D24-C24)/ABS(C24),"")</f>
        <v>0.5077244258872652</v>
      </c>
      <c r="I24" s="11">
        <f>IFERROR((E24-D24)/ABS(D24),"")</f>
        <v>0.6307605315238903</v>
      </c>
      <c r="J24" s="11">
        <f>IFERROR((F24-E24)/ABS(E24),"")</f>
        <v>1.358728943338438</v>
      </c>
      <c r="K24" s="11" t="s">
        <v>30</v>
      </c>
    </row>
    <row r="25" spans="1:11" x14ac:dyDescent="0.25">
      <c r="A25" s="6" t="s">
        <v>31</v>
      </c>
      <c r="B25" s="8">
        <f>IFERROR(B24/B17,"")</f>
        <v>-0.2832991803278688</v>
      </c>
      <c r="C25" s="8">
        <f>IFERROR(C24/C17,"")</f>
        <v>-0.16751766104777224</v>
      </c>
      <c r="D25" s="8">
        <f>IFERROR(D24/D17,"")</f>
        <v>-0.07115268557634279</v>
      </c>
      <c r="E25" s="8">
        <f>IFERROR(E24/E17,"")</f>
        <v>-0.021245099474566067</v>
      </c>
      <c r="F25" s="8">
        <f>IFERROR(F24/F17,"")</f>
        <v>0.00666424847618438</v>
      </c>
      <c r="G25" s="8"/>
      <c r="H25" s="8"/>
      <c r="I25" s="8"/>
      <c r="J25" s="8"/>
      <c r="K25" s="8"/>
    </row>
    <row r="26" spans="1:11" x14ac:dyDescent="0.25">
      <c r="A26" s="6"/>
      <c r="G26" s="8"/>
      <c r="H26" s="8"/>
      <c r="I26" s="8"/>
      <c r="J26" s="8"/>
      <c r="K26" s="8"/>
    </row>
    <row r="27" spans="1:11" x14ac:dyDescent="0.25">
      <c r="A27" s="6" t="s">
        <v>32</v>
      </c>
      <c r="B27" s="12">
        <f>B28-B24</f>
        <v>535</v>
      </c>
      <c r="C27" s="12">
        <f>C28-C24</f>
        <v>-1571</v>
      </c>
      <c r="D27" s="12">
        <f>D28-D24</f>
        <v>-1590.6</v>
      </c>
      <c r="E27" s="12">
        <f>E28-E24</f>
        <v>-621.2</v>
      </c>
      <c r="F27" s="12">
        <f>F28-F24</f>
        <v>-876.6</v>
      </c>
      <c r="G27" s="8">
        <f>IFERROR((C27-B27)/ABS(B27),"")</f>
        <v>-3.9364485981308412</v>
      </c>
      <c r="H27" s="8">
        <f>IFERROR((D27-C27)/ABS(C27),"")</f>
        <v>-0.012476129853596378</v>
      </c>
      <c r="I27" s="8">
        <f>IFERROR((E27-D27)/ABS(D27),"")</f>
        <v>0.609455551364265</v>
      </c>
      <c r="J27" s="8">
        <f>IFERROR((F27-E27)/ABS(E27),"")</f>
        <v>-0.4111397295556986</v>
      </c>
      <c r="K27" s="8" t="s">
        <v>30</v>
      </c>
    </row>
    <row r="28" spans="1:11" x14ac:dyDescent="0.25">
      <c r="A28" s="9" t="s">
        <v>33</v>
      </c>
      <c r="B28" s="13">
        <v>-1124</v>
      </c>
      <c r="C28" s="13">
        <v>-3008</v>
      </c>
      <c r="D28" s="13">
        <v>-2298</v>
      </c>
      <c r="E28" s="13">
        <v>-882.4</v>
      </c>
      <c r="F28" s="13">
        <v>-782.9</v>
      </c>
      <c r="G28" s="11">
        <f>IFERROR((C28-B28)/ABS(B28),"")</f>
        <v>-1.6761565836298933</v>
      </c>
      <c r="H28" s="11">
        <f>IFERROR((D28-C28)/ABS(C28),"")</f>
        <v>0.2360372340425532</v>
      </c>
      <c r="I28" s="11">
        <f>IFERROR((E28-D28)/ABS(D28),"")</f>
        <v>0.6160139251523064</v>
      </c>
      <c r="J28" s="11">
        <f>IFERROR((F28-E28)/ABS(E28),"")</f>
        <v>0.11276065276518586</v>
      </c>
      <c r="K28" s="11">
        <f>IFERROR((F28/B28)^(1/4)-1,"n/m")</f>
        <v>-0.08644437617846334</v>
      </c>
    </row>
    <row r="29" spans="1:11" x14ac:dyDescent="0.25">
      <c r="A29" s="6" t="s">
        <v>34</v>
      </c>
      <c r="B29" s="8">
        <f>IFERROR(B28/B17,"")</f>
        <v>-0.1919398907103825</v>
      </c>
      <c r="C29" s="8">
        <f>IFERROR(C28/C17,"")</f>
        <v>-0.3506563148446061</v>
      </c>
      <c r="D29" s="8">
        <f>IFERROR(D28/D17,"")</f>
        <v>-0.2311406155703078</v>
      </c>
      <c r="E29" s="8">
        <f>IFERROR(E28/E17,"")</f>
        <v>-0.07177134677012671</v>
      </c>
      <c r="F29" s="8">
        <f>IFERROR(F28/F17,"")</f>
        <v>-0.05568239201712648</v>
      </c>
      <c r="G29" s="8"/>
      <c r="H29" s="8"/>
      <c r="I29" s="8"/>
      <c r="J29" s="8"/>
      <c r="K29" s="8"/>
    </row>
    <row r="30" spans="1:11" x14ac:dyDescent="0.25">
      <c r="A30" s="6"/>
      <c r="G30" s="8"/>
      <c r="H30" s="8"/>
      <c r="I30" s="8"/>
      <c r="J30" s="8"/>
      <c r="K30" s="8"/>
    </row>
    <row r="31" spans="1:11" x14ac:dyDescent="0.25">
      <c r="A31" s="6" t="s">
        <v>35</v>
      </c>
      <c r="B31" s="14">
        <v>-4.57</v>
      </c>
      <c r="C31" s="14">
        <v>-11.28</v>
      </c>
      <c r="D31" s="14">
        <v>-8.57</v>
      </c>
      <c r="E31" s="14">
        <v>-3.1</v>
      </c>
      <c r="F31" s="14">
        <v>-2.62</v>
      </c>
      <c r="G31" s="8">
        <f>IFERROR((C31-B31)/ABS(B31),"")</f>
        <v>-1.4682713347921224</v>
      </c>
      <c r="H31" s="8">
        <f>IFERROR((D31-C31)/ABS(C31),"")</f>
        <v>0.24024822695035455</v>
      </c>
      <c r="I31" s="8">
        <f>IFERROR((E31-D31)/ABS(D31),"")</f>
        <v>0.6382730455075847</v>
      </c>
      <c r="J31" s="8">
        <f>IFERROR((F31-E31)/ABS(E31),"")</f>
        <v>0.15483870967741933</v>
      </c>
      <c r="K31" s="8">
        <f>IFERROR((F31/B31)^(1/4)-1,"n/m")</f>
        <v>-0.1298456956891123</v>
      </c>
    </row>
    <row r="32" spans="1:11" x14ac:dyDescent="0.25">
      <c r="A32" s="6" t="s">
        <v>36</v>
      </c>
      <c r="B32" s="15">
        <f>IFERROR(B28/B31,"")</f>
        <v>245.95185995623632</v>
      </c>
      <c r="C32" s="15">
        <f>IFERROR(C28/C31,"")</f>
        <v>266.6666666666667</v>
      </c>
      <c r="D32" s="15">
        <f>IFERROR(D28/D31,"")</f>
        <v>268.14469078179695</v>
      </c>
      <c r="E32" s="15">
        <f>IFERROR(E28/E31,"")</f>
        <v>284.64516129032256</v>
      </c>
      <c r="F32" s="15">
        <f>IFERROR(F28/F31,"")</f>
        <v>298.8167938931297</v>
      </c>
      <c r="G32" s="8"/>
      <c r="H32" s="8"/>
      <c r="I32" s="8"/>
      <c r="J32" s="8"/>
      <c r="K32" s="8"/>
    </row>
    <row r="34" spans="1:11" x14ac:dyDescent="0.25">
      <c r="A34" s="4" t="s">
        <v>37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6" x14ac:dyDescent="0.25">
      <c r="A35" s="5"/>
      <c r="B35" s="5" t="s">
        <v>4</v>
      </c>
      <c r="C35" s="5" t="s">
        <v>5</v>
      </c>
      <c r="D35" s="5" t="s">
        <v>6</v>
      </c>
      <c r="E35" s="5" t="s">
        <v>7</v>
      </c>
      <c r="F35" s="5" t="s">
        <v>8</v>
      </c>
    </row>
    <row r="36" spans="1:6" x14ac:dyDescent="0.25">
      <c r="A36" s="6" t="s">
        <v>14</v>
      </c>
      <c r="B36" s="8">
        <f>IFERROR(B7/B17,0)</f>
        <v>0.5124658469945356</v>
      </c>
      <c r="C36" s="8">
        <f>IFERROR(C7/C17,0)</f>
        <v>0.4291110023081765</v>
      </c>
      <c r="D36" s="8">
        <f>IFERROR(D7/D17,0)</f>
        <v>0.4122912894789781</v>
      </c>
      <c r="E36" s="8">
        <f>IFERROR(E7/E17,0)</f>
        <v>0.41424690514534834</v>
      </c>
      <c r="F36" s="8">
        <f>IFERROR(F7/F17,0)</f>
        <v>0.4118747377330175</v>
      </c>
    </row>
    <row r="37" spans="1:6" x14ac:dyDescent="0.25">
      <c r="A37" s="6" t="s">
        <v>15</v>
      </c>
      <c r="B37" s="8">
        <f>IFERROR(B8/B17,0)</f>
        <v>0.24146174863387979</v>
      </c>
      <c r="C37" s="8">
        <f>IFERROR(C8/C17,0)</f>
        <v>0.2566972092047282</v>
      </c>
      <c r="D37" s="8">
        <f>IFERROR(D8/D17,0)</f>
        <v>0.24371353852343594</v>
      </c>
      <c r="E37" s="8">
        <f>IFERROR(E8/E17,0)</f>
        <v>0.24124412343630536</v>
      </c>
      <c r="F37" s="8">
        <f>IFERROR(F8/F17,0)</f>
        <v>0.23534683252608443</v>
      </c>
    </row>
    <row r="38" spans="1:6" x14ac:dyDescent="0.25">
      <c r="A38" s="6" t="s">
        <v>16</v>
      </c>
      <c r="B38" s="8">
        <f>IFERROR(B9/B17,0)</f>
        <v>0.14485997267759562</v>
      </c>
      <c r="C38" s="8">
        <f>IFERROR(C9/C17,0)</f>
        <v>0.1818563334965377</v>
      </c>
      <c r="D38" s="8">
        <f>IFERROR(D9/D17,0)</f>
        <v>0.19593643130154897</v>
      </c>
      <c r="E38" s="8">
        <f>IFERROR(E9/E17,0)</f>
        <v>0.19886779561758822</v>
      </c>
      <c r="F38" s="8">
        <f>IFERROR(F9/F17,0)</f>
        <v>0.2054039444954161</v>
      </c>
    </row>
    <row r="39" spans="1:6" x14ac:dyDescent="0.25">
      <c r="A39" s="6" t="s">
        <v>17</v>
      </c>
      <c r="B39" s="8">
        <f>IFERROR(B10/B17,0)</f>
        <v>0</v>
      </c>
      <c r="C39" s="8">
        <f>IFERROR(C10/C17,0)</f>
        <v>0.12158727938262105</v>
      </c>
      <c r="D39" s="8">
        <f>IFERROR(D10/D17,0)</f>
        <v>0.12673506336753168</v>
      </c>
      <c r="E39" s="8">
        <f>IFERROR(E10/E17,0)</f>
        <v>0.11696191824052836</v>
      </c>
      <c r="F39" s="8">
        <f>IFERROR(F10/F17,0)</f>
        <v>0.1038399442393724</v>
      </c>
    </row>
    <row r="40" spans="1:6" x14ac:dyDescent="0.25">
      <c r="A40" s="6" t="s">
        <v>18</v>
      </c>
      <c r="B40" s="8">
        <f>IFERROR(B11/B17,0)</f>
        <v>0</v>
      </c>
      <c r="C40" s="8">
        <f>IFERROR(C11/C17,0)</f>
        <v>0.010654915949733043</v>
      </c>
      <c r="D40" s="8">
        <f>IFERROR(D11/D17,0)</f>
        <v>0.019895393281029974</v>
      </c>
      <c r="E40" s="8">
        <f>IFERROR(E11/E17,0)</f>
        <v>0.026255429212825143</v>
      </c>
      <c r="F40" s="8">
        <f>IFERROR(F11/F17,0)</f>
        <v>0.04274507293689234</v>
      </c>
    </row>
    <row r="41" spans="1:6" x14ac:dyDescent="0.25">
      <c r="A41" s="6" t="s">
        <v>19</v>
      </c>
      <c r="B41" s="8">
        <f>IFERROR(B12/B17,0)</f>
        <v>0.06960382513661202</v>
      </c>
      <c r="C41" s="8">
        <f>IFERROR(C12/C17,0)</f>
        <v>0.05944137464736191</v>
      </c>
      <c r="D41" s="8">
        <f>IFERROR(D12/D17,0)</f>
        <v>0.05334942667471333</v>
      </c>
      <c r="E41" s="8">
        <f>IFERROR(E12/E17,0)</f>
        <v>0.04552405120947408</v>
      </c>
      <c r="F41" s="8">
        <f>IFERROR(F12/F17,0)</f>
        <v>0.0384634533182552</v>
      </c>
    </row>
    <row r="42" spans="1:6" x14ac:dyDescent="0.25">
      <c r="A42" s="6" t="s">
        <v>20</v>
      </c>
      <c r="B42" s="8">
        <f>IFERROR(B13/B17,0)</f>
        <v>0</v>
      </c>
      <c r="C42" s="8">
        <f>IFERROR(C13/C17,0)</f>
        <v>0.005770441351332447</v>
      </c>
      <c r="D42" s="8">
        <f>IFERROR(D13/D17,0)</f>
        <v>0.009193321263327298</v>
      </c>
      <c r="E42" s="8">
        <f>IFERROR(E13/E17,0)</f>
        <v>0.011354578432807898</v>
      </c>
      <c r="F42" s="8">
        <f>IFERROR(F13/F17,0)</f>
        <v>0.0182715627911608</v>
      </c>
    </row>
    <row r="43" spans="1:6" x14ac:dyDescent="0.25">
      <c r="A43" s="6" t="s">
        <v>21</v>
      </c>
      <c r="B43" s="8">
        <f>IFERROR(B14/B17,0)</f>
        <v>0</v>
      </c>
      <c r="C43" s="8">
        <f>IFERROR(C14/C17,0)</f>
        <v>0.027534914084539876</v>
      </c>
      <c r="D43" s="8">
        <f>IFERROR(D14/D17,0)</f>
        <v>0.02436129551398109</v>
      </c>
      <c r="E43" s="8">
        <f>IFERROR(E14/E17,0)</f>
        <v>0.01745481756218177</v>
      </c>
      <c r="F43" s="8">
        <f>IFERROR(F14/F17,0)</f>
        <v>0.010753835321228155</v>
      </c>
    </row>
    <row r="44" ht="27.00675168792198" customHeight="1" spans="1:6" x14ac:dyDescent="0.25">
      <c r="A44" s="6" t="s">
        <v>38</v>
      </c>
      <c r="B44" s="8">
        <f>IFERROR(B15/B17,0)</f>
        <v>0.1638831967213115</v>
      </c>
      <c r="C44" s="8">
        <f>IFERROR(C15/C17,0)</f>
        <v>0</v>
      </c>
      <c r="D44" s="8">
        <f>IFERROR(D15/D17,0)</f>
        <v>0</v>
      </c>
      <c r="E44" s="8">
        <f>IFERROR(E15/E17,0)</f>
        <v>0</v>
      </c>
      <c r="F44" s="8">
        <f>IFERROR(F15/F17,0)</f>
        <v>0</v>
      </c>
    </row>
    <row r="45" spans="1:6" x14ac:dyDescent="0.25">
      <c r="A45" s="6" t="s">
        <v>23</v>
      </c>
      <c r="B45" s="8">
        <f>IFERROR(B16/B17,0)</f>
        <v>-0.13227459016393442</v>
      </c>
      <c r="C45" s="8">
        <f>IFERROR(C16/C17,0)</f>
        <v>-0.09265347042503087</v>
      </c>
      <c r="D45" s="8">
        <f>IFERROR(D16/D17,0)</f>
        <v>-0.08547575940454637</v>
      </c>
      <c r="E45" s="8">
        <f>IFERROR(E16/E17,0)</f>
        <v>-0.0719096188570592</v>
      </c>
      <c r="F45" s="8">
        <f>IFERROR(F16/F17,0)</f>
        <v>-0.06669938336142701</v>
      </c>
    </row>
    <row r="46" spans="1:11" x14ac:dyDescent="0.25">
      <c r="A46" s="16" t="s">
        <v>39</v>
      </c>
      <c r="B46" s="17">
        <f>SUM(B36:B45)</f>
        <v>1.0000000000000002</v>
      </c>
      <c r="C46" s="17">
        <f>SUM(C36:C45)</f>
        <v>0.9999999999999997</v>
      </c>
      <c r="D46" s="17">
        <f>SUM(D36:D45)</f>
        <v>1.0000000000000002</v>
      </c>
      <c r="E46" s="17">
        <f>SUM(E36:E45)</f>
        <v>1.0000000000000002</v>
      </c>
      <c r="F46" s="17">
        <f>SUM(F36:F45)</f>
        <v>0.9999999999999999</v>
      </c>
      <c r="G46" s="18"/>
      <c r="H46" s="18"/>
      <c r="I46" s="18"/>
      <c r="J46" s="18"/>
      <c r="K46" s="18"/>
    </row>
    <row r="48" spans="1:11" x14ac:dyDescent="0.25">
      <c r="A48" s="4" t="s">
        <v>40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6" x14ac:dyDescent="0.25">
      <c r="A49" s="5"/>
      <c r="B49" s="5" t="s">
        <v>6</v>
      </c>
      <c r="C49" s="5" t="s">
        <v>7</v>
      </c>
      <c r="D49" s="5" t="s">
        <v>8</v>
      </c>
      <c r="E49" s="5" t="s">
        <v>41</v>
      </c>
      <c r="F49" s="5" t="s">
        <v>42</v>
      </c>
    </row>
    <row r="50" spans="1:6" x14ac:dyDescent="0.25">
      <c r="A50" s="6" t="s">
        <v>43</v>
      </c>
      <c r="B50" s="15"/>
      <c r="C50" s="19">
        <v>48.75</v>
      </c>
      <c r="D50" s="19">
        <v>49.2</v>
      </c>
      <c r="E50" s="15">
        <f>D50*(1+E52)</f>
        <v>53.62800000000001</v>
      </c>
      <c r="F50" s="20" t="s">
        <v>44</v>
      </c>
    </row>
    <row r="51" spans="1:5" x14ac:dyDescent="0.25">
      <c r="A51" s="6" t="s">
        <v>45</v>
      </c>
      <c r="B51" s="8"/>
      <c r="C51" s="8"/>
      <c r="D51" s="8">
        <f>IFERROR(D50/C50-1,"")</f>
        <v>0.009230769230769376</v>
      </c>
      <c r="E51" s="8"/>
    </row>
    <row r="52" spans="1:6" x14ac:dyDescent="0.25">
      <c r="A52" s="6" t="s">
        <v>46</v>
      </c>
      <c r="B52" s="8"/>
      <c r="C52" s="21">
        <v>0.08</v>
      </c>
      <c r="D52" s="21">
        <v>0.09</v>
      </c>
      <c r="E52" s="21">
        <v>0.09</v>
      </c>
      <c r="F52" s="20" t="s">
        <v>47</v>
      </c>
    </row>
    <row r="53" spans="1:6" x14ac:dyDescent="0.25">
      <c r="A53" s="6" t="s">
        <v>48</v>
      </c>
      <c r="B53" s="15"/>
      <c r="C53" s="19">
        <v>12.8</v>
      </c>
      <c r="D53" s="19">
        <v>14.8</v>
      </c>
      <c r="E53" s="15">
        <f>D53*(1+E55)</f>
        <v>17.02</v>
      </c>
      <c r="F53" s="20" t="s">
        <v>49</v>
      </c>
    </row>
    <row r="54" spans="1:5" x14ac:dyDescent="0.25">
      <c r="A54" s="6" t="s">
        <v>50</v>
      </c>
      <c r="B54" s="8"/>
      <c r="C54" s="8"/>
      <c r="D54" s="8">
        <f>IFERROR(D53/C53-1,"")</f>
        <v>0.15625</v>
      </c>
      <c r="E54" s="8"/>
    </row>
    <row r="55" spans="1:6" x14ac:dyDescent="0.25">
      <c r="A55" s="6" t="s">
        <v>51</v>
      </c>
      <c r="B55" s="8"/>
      <c r="C55" s="21">
        <v>0.22</v>
      </c>
      <c r="D55" s="21">
        <v>0.231</v>
      </c>
      <c r="E55" s="21">
        <v>0.15</v>
      </c>
      <c r="F55" s="20" t="s">
        <v>52</v>
      </c>
    </row>
    <row r="56" spans="1:6" x14ac:dyDescent="0.25">
      <c r="A56" s="6" t="s">
        <v>53</v>
      </c>
      <c r="B56" s="22">
        <v>254</v>
      </c>
      <c r="C56" s="22">
        <v>692.5</v>
      </c>
      <c r="D56" s="22">
        <v>900</v>
      </c>
      <c r="E56" s="22">
        <v>935</v>
      </c>
      <c r="F56" s="20" t="s">
        <v>54</v>
      </c>
    </row>
    <row r="57" spans="1:5" x14ac:dyDescent="0.25">
      <c r="A57" s="6" t="s">
        <v>55</v>
      </c>
      <c r="B57" s="8"/>
      <c r="C57" s="8">
        <f>IFERROR((C56-B56)/ABS(B56),"")</f>
        <v>1.7263779527559056</v>
      </c>
      <c r="D57" s="8">
        <f>IFERROR((D56-C56)/ABS(C56),"")</f>
        <v>0.2996389891696751</v>
      </c>
      <c r="E57" s="8">
        <f>IFERROR((E56-D56)/ABS(D56),"")</f>
        <v>0.03888888888888889</v>
      </c>
    </row>
    <row r="58" spans="1:5" x14ac:dyDescent="0.25">
      <c r="A58" s="6" t="s">
        <v>56</v>
      </c>
      <c r="B58" s="8"/>
      <c r="C58" s="8">
        <f>IFERROR(C56/(C50*1000),"")</f>
        <v>0.014205128205128205</v>
      </c>
      <c r="D58" s="8">
        <f>IFERROR(D56/(D50*1000),"")</f>
        <v>0.018292682926829267</v>
      </c>
      <c r="E58" s="8">
        <f>IFERROR(E56/(E50*1000),"")</f>
        <v>0.017434922055642572</v>
      </c>
    </row>
    <row r="59" spans="1:6" x14ac:dyDescent="0.25">
      <c r="A59" s="6" t="s">
        <v>57</v>
      </c>
      <c r="B59" s="23"/>
      <c r="C59" s="22">
        <v>99</v>
      </c>
      <c r="D59" s="22">
        <v>200</v>
      </c>
      <c r="E59" s="22">
        <v>200</v>
      </c>
      <c r="F59" s="20" t="s">
        <v>58</v>
      </c>
    </row>
    <row r="61" spans="1:11" x14ac:dyDescent="0.25">
      <c r="A61" s="4" t="s">
        <v>59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31.50787696924231" customHeight="1" spans="1:11" x14ac:dyDescent="0.25">
      <c r="A62" s="24" t="s">
        <v>60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ht="31.50787696924231" customHeight="1" spans="1:11" x14ac:dyDescent="0.25">
      <c r="A63" s="24" t="s">
        <v>61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ht="31.50787696924231" customHeight="1" spans="1:11" x14ac:dyDescent="0.25">
      <c r="A64" s="24" t="s">
        <v>62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ht="31.50787696924231" customHeight="1" spans="1:11" x14ac:dyDescent="0.25">
      <c r="A65" s="24" t="s">
        <v>63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ht="31.50787696924231" customHeight="1" spans="1:11" x14ac:dyDescent="0.25">
      <c r="A66" s="24" t="s">
        <v>64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ht="31.50787696924231" customHeight="1" spans="1:11" x14ac:dyDescent="0.25">
      <c r="A67" s="24" t="s">
        <v>65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ht="31.50787696924231" customHeight="1" spans="1:11" x14ac:dyDescent="0.25">
      <c r="A68" s="24" t="s">
        <v>66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ht="31.50787696924231" customHeight="1" spans="1:11" x14ac:dyDescent="0.25">
      <c r="A69" s="24" t="s">
        <v>67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</row>
  </sheetData>
  <mergeCells count="15">
    <mergeCell ref="A1:K1"/>
    <mergeCell ref="A2:K2"/>
    <mergeCell ref="A3:K3"/>
    <mergeCell ref="A5:K5"/>
    <mergeCell ref="A34:K34"/>
    <mergeCell ref="A48:K48"/>
    <mergeCell ref="A61:K61"/>
    <mergeCell ref="A62:K62"/>
    <mergeCell ref="A63:K63"/>
    <mergeCell ref="A64:K64"/>
    <mergeCell ref="A65:K65"/>
    <mergeCell ref="A66:K66"/>
    <mergeCell ref="A67:K67"/>
    <mergeCell ref="A68:K68"/>
    <mergeCell ref="A69:K6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2026-08-17T23:44:14Z</dcterms:created>
  <dcterms:modified xsi:type="dcterms:W3CDTF">2026-08-17T23:44:14Z</dcterms:modified>
</cp:coreProperties>
</file>