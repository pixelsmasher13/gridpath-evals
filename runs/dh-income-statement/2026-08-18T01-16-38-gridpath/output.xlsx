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;(#,##0);-"/>
    <numFmt numFmtId="165" formatCode="#,##0.00;(#,##0.00);-"/>
    <numFmt numFmtId="166" formatCode="#,##0.0"/>
    <numFmt numFmtId="167" formatCode="0.0%;(0.0%);-"/>
    <numFmt numFmtId="168" formatCode="#,##0.0;(#,##0.0);-"/>
    <numFmt numFmtId="169" formatCode="0.0%"/>
  </numFmts>
  <fonts x14ac:knownFonts="1" count="8">
    <font>
      <color theme="1"/>
      <family val="2"/>
      <scheme val="minor"/>
      <sz val="11"/>
      <name val="Calibri"/>
    </font>
    <font>
      <b/>
      <family val="2"/>
      <scheme val="minor"/>
      <name val="Calibri"/>
      <color rgb="FF1F4E79"/>
      <sz val="16"/>
    </font>
    <font>
      <i/>
      <family val="2"/>
      <scheme val="minor"/>
      <name val="Calibri"/>
      <color rgb="FF595959"/>
      <sz val="10"/>
    </font>
    <font>
      <b/>
      <family val="2"/>
      <scheme val="minor"/>
      <sz val="11"/>
      <name val="Calibri"/>
      <color rgb="FFFFFFFF"/>
    </font>
    <font>
      <b/>
      <family val="2"/>
      <scheme val="minor"/>
      <sz val="11"/>
      <name val="Calibri"/>
      <color rgb="FF1F4E79"/>
    </font>
    <font>
      <b/>
      <color theme="1"/>
      <family val="2"/>
      <scheme val="minor"/>
      <sz val="11"/>
      <name val="Calibri"/>
    </font>
    <font>
      <family val="2"/>
      <scheme val="minor"/>
      <sz val="11"/>
      <name val="Calibri"/>
      <color rgb="FF0000FF"/>
    </font>
    <font>
      <i/>
      <family val="2"/>
      <scheme val="minor"/>
      <name val="Calibri"/>
      <color rgb="FF595959"/>
      <sz val="9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5" fillId="0" borderId="0" xfId="0" applyFont="1" applyFill="1"/>
    <xf numFmtId="164" fontId="6" fillId="0" borderId="0" xfId="0" applyFont="1" applyFill="1" applyNumberFormat="1"/>
    <xf numFmtId="164" fontId="0" fillId="0" borderId="0" xfId="0" applyFill="1" applyNumberFormat="1"/>
    <xf numFmtId="165" fontId="6" fillId="0" borderId="0" xfId="0" applyFont="1" applyFill="1" applyNumberFormat="1"/>
    <xf numFmtId="166" fontId="6" fillId="0" borderId="0" xfId="0" applyFont="1" applyFill="1" applyNumberFormat="1"/>
    <xf numFmtId="167" fontId="2" fillId="0" borderId="0" xfId="0" applyFont="1" applyFill="1" applyNumberFormat="1"/>
    <xf numFmtId="164" fontId="2" fillId="0" borderId="0" xfId="0" applyFont="1" applyFill="1" applyNumberFormat="1"/>
    <xf numFmtId="168" fontId="0" fillId="0" borderId="0" xfId="0" applyFill="1" applyNumberFormat="1"/>
    <xf numFmtId="168" fontId="2" fillId="0" borderId="0" xfId="0" applyFont="1" applyFill="1" applyNumberFormat="1"/>
    <xf numFmtId="169" fontId="0" fillId="0" borderId="0" xfId="0" applyFill="1" applyNumberFormat="1"/>
    <xf numFmtId="0" fontId="7" fillId="0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xSplit="1" ySplit="4" topLeftCell="B5" activePane="bottomRight" state="frozen"/>
    </sheetView>
  </sheetViews>
  <sheetFormatPr defaultRowHeight="15" outlineLevelRow="0" outlineLevelCol="0" x14ac:dyDescent="55"/>
  <cols>
    <col min="1" max="1" width="53.57" customWidth="1"/>
    <col min="2" max="2" width="13.57" customWidth="1"/>
    <col min="3" max="3" width="13.57" customWidth="1"/>
    <col min="4" max="4" width="13.57" customWidth="1"/>
    <col min="5" max="5" width="13.57" customWidth="1"/>
    <col min="6" max="6" width="13.57" customWidth="1"/>
    <col min="7" max="7" width="13.57" customWidth="1"/>
  </cols>
  <sheetData>
    <row r="1" ht="19.5" customHeight="1">
      <c r="A1" s="1" t="inlineStr">
        <is>
          <t xml:space="preserve">Delivery Hero SE — Income Statement &amp; Growth Analysis</t>
        </is>
      </c>
      <c r="B1" s="1"/>
      <c r="C1" s="1"/>
      <c r="D1" s="1"/>
      <c r="E1" s="1"/>
      <c r="F1" s="1"/>
      <c r="G1" s="1"/>
    </row>
    <row r="2" ht="13.5" customHeight="1">
      <c r="A2" s="2" t="inlineStr">
        <is>
          <t xml:space="preserve">EUR millions, except per share data and percentages · Fiscal year ended December 31 · IFRS consolidated basis unless noted</t>
        </is>
      </c>
      <c r="B2" s="2"/>
      <c r="C2" s="2"/>
      <c r="D2" s="2"/>
      <c r="E2" s="2"/>
      <c r="F2" s="2"/>
      <c r="G2" s="2"/>
    </row>
    <row r="4">
      <c r="A4" s="3"/>
      <c r="B4" s="3" t="inlineStr">
        <is>
          <t xml:space="preserve">FY2021A</t>
        </is>
      </c>
      <c r="C4" s="3" t="inlineStr">
        <is>
          <t xml:space="preserve">FY2022A</t>
        </is>
      </c>
      <c r="D4" s="3" t="inlineStr">
        <is>
          <t xml:space="preserve">FY2023A</t>
        </is>
      </c>
      <c r="E4" s="3" t="inlineStr">
        <is>
          <t xml:space="preserve">FY2024A</t>
        </is>
      </c>
      <c r="F4" s="3" t="inlineStr">
        <is>
          <t xml:space="preserve">FY2025A</t>
        </is>
      </c>
      <c r="G4" s="3" t="inlineStr">
        <is>
          <t xml:space="preserve">21-25 CAGR</t>
        </is>
      </c>
    </row>
    <row r="6">
      <c r="A6" s="4" t="inlineStr">
        <is>
          <t xml:space="preserve">CONSOLIDATED INCOME STATEMENT (IFRS, as reported)</t>
        </is>
      </c>
      <c r="B6" s="4"/>
      <c r="C6" s="4"/>
      <c r="D6" s="4"/>
      <c r="E6" s="4"/>
      <c r="F6" s="4"/>
      <c r="G6" s="4"/>
    </row>
    <row r="7">
      <c r="A7" s="5" t="inlineStr">
        <is>
          <t xml:space="preserve">Revenue</t>
        </is>
      </c>
      <c r="B7" s="6">
        <v>5856</v>
      </c>
      <c r="C7" s="6">
        <v>8577</v>
      </c>
      <c r="D7" s="6">
        <v>9942</v>
      </c>
      <c r="E7" s="6">
        <v>12295</v>
      </c>
      <c r="F7" s="6">
        <v>14060</v>
      </c>
      <c r="G7" s="14">
        <f>(F7/B7)^(1/4)-1</f>
        <v>0.24478992088137197</v>
      </c>
    </row>
    <row r="8">
      <c r="A8" t="inlineStr">
        <is>
          <t xml:space="preserve">Cost of revenue (derived)</t>
        </is>
      </c>
      <c r="B8" s="7">
        <f>B9-B7</f>
        <v>-4598</v>
      </c>
      <c r="C8" s="7">
        <f>C9-C7</f>
        <v>-6345</v>
      </c>
      <c r="D8" s="7">
        <f>D9-D7</f>
        <v>-6969</v>
      </c>
      <c r="E8" s="7">
        <f>E9-E7</f>
        <v>-8966</v>
      </c>
      <c r="F8" s="7">
        <f>F9-F7</f>
        <v>-10627</v>
      </c>
    </row>
    <row r="9">
      <c r="A9" s="5" t="inlineStr">
        <is>
          <t xml:space="preserve">Gross profit</t>
        </is>
      </c>
      <c r="B9" s="6">
        <v>1258</v>
      </c>
      <c r="C9" s="6">
        <v>2232</v>
      </c>
      <c r="D9" s="6">
        <v>2973</v>
      </c>
      <c r="E9" s="6">
        <v>3329</v>
      </c>
      <c r="F9" s="6">
        <v>3433</v>
      </c>
      <c r="G9" s="14">
        <f>(F9/B9)^(1/4)-1</f>
        <v>0.2852816009534269</v>
      </c>
    </row>
    <row r="10">
      <c r="A10" t="inlineStr">
        <is>
          <t xml:space="preserve">Total operating expenses (SG&amp;A, marketing, other — derived)</t>
        </is>
      </c>
      <c r="B10" s="7">
        <f>B11-B9</f>
        <v>-2917</v>
      </c>
      <c r="C10" s="7">
        <f>C11-C9</f>
        <v>-3669</v>
      </c>
      <c r="D10" s="7">
        <f>D11-D9</f>
        <v>-3680.4</v>
      </c>
      <c r="E10" s="7">
        <f>E11-E9</f>
        <v>-3590.2</v>
      </c>
      <c r="F10" s="7">
        <f>F11-F9</f>
        <v>-3339.3</v>
      </c>
    </row>
    <row r="11">
      <c r="A11" s="5" t="inlineStr">
        <is>
          <t xml:space="preserve">Operating income (EBIT)</t>
        </is>
      </c>
      <c r="B11" s="6">
        <v>-1659</v>
      </c>
      <c r="C11" s="6">
        <v>-1437</v>
      </c>
      <c r="D11" s="6">
        <v>-707.4</v>
      </c>
      <c r="E11" s="6">
        <v>-261.2</v>
      </c>
      <c r="F11" s="6">
        <v>93.7</v>
      </c>
    </row>
    <row r="12">
      <c r="A12" t="inlineStr">
        <is>
          <t xml:space="preserve">Net non-operating items &amp; tax, net (derived plug)</t>
        </is>
      </c>
      <c r="B12" s="7">
        <f>B13-B11</f>
        <v>535</v>
      </c>
      <c r="C12" s="7">
        <f>C13-C11</f>
        <v>-1571</v>
      </c>
      <c r="D12" s="7">
        <f>D13-D11</f>
        <v>-1590.6</v>
      </c>
      <c r="E12" s="7">
        <f>E13-E11</f>
        <v>-621.2</v>
      </c>
      <c r="F12" s="7">
        <f>F13-F11</f>
        <v>-876.6</v>
      </c>
    </row>
    <row r="13">
      <c r="A13" s="5" t="inlineStr">
        <is>
          <t xml:space="preserve">Net income</t>
        </is>
      </c>
      <c r="B13" s="6">
        <v>-1124</v>
      </c>
      <c r="C13" s="6">
        <v>-3008</v>
      </c>
      <c r="D13" s="6">
        <v>-2298</v>
      </c>
      <c r="E13" s="6">
        <v>-882.4</v>
      </c>
      <c r="F13" s="6">
        <v>-782.9</v>
      </c>
    </row>
    <row r="15">
      <c r="A15" s="4" t="inlineStr">
        <is>
          <t xml:space="preserve">GROWTH &amp; MARGIN ANALYSIS</t>
        </is>
      </c>
      <c r="B15" s="4"/>
      <c r="C15" s="4"/>
      <c r="D15" s="4"/>
      <c r="E15" s="4"/>
      <c r="F15" s="4"/>
      <c r="G15" s="4"/>
    </row>
    <row r="16">
      <c r="A16" s="2" t="inlineStr">
        <is>
          <t xml:space="preserve">Revenue — YoY growth %</t>
        </is>
      </c>
      <c r="B16" s="10"/>
      <c r="C16" s="10">
        <f>C7/B7-1</f>
        <v>0.46465163934426235</v>
      </c>
      <c r="D16" s="10">
        <f>D7/C7-1</f>
        <v>0.1591465547394193</v>
      </c>
      <c r="E16" s="10">
        <f>E7/D7-1</f>
        <v>0.23667270166968413</v>
      </c>
      <c r="F16" s="10">
        <f>F7/E7-1</f>
        <v>0.1435542903619358</v>
      </c>
      <c r="G16" s="2"/>
    </row>
    <row r="17">
      <c r="A17" s="2" t="inlineStr">
        <is>
          <t xml:space="preserve">Gross profit — YoY growth %</t>
        </is>
      </c>
      <c r="B17" s="10"/>
      <c r="C17" s="10">
        <f>C9/B9-1</f>
        <v>0.7742448330683624</v>
      </c>
      <c r="D17" s="10">
        <f>D9/C9-1</f>
        <v>0.331989247311828</v>
      </c>
      <c r="E17" s="10">
        <f>E9/D9-1</f>
        <v>0.11974436596030946</v>
      </c>
      <c r="F17" s="10">
        <f>F9/E9-1</f>
        <v>0.031240612796635592</v>
      </c>
      <c r="G17" s="2"/>
    </row>
    <row r="18">
      <c r="A18" s="2" t="inlineStr">
        <is>
          <t xml:space="preserve">Operating income — YoY Δ (EUR m)</t>
        </is>
      </c>
      <c r="B18" s="11"/>
      <c r="C18" s="11">
        <f>C11-B11</f>
        <v>222</v>
      </c>
      <c r="D18" s="11">
        <f>D11-C11</f>
        <v>729.6</v>
      </c>
      <c r="E18" s="11">
        <f>E11-D11</f>
        <v>446.2</v>
      </c>
      <c r="F18" s="11">
        <f>F11-E11</f>
        <v>354.9</v>
      </c>
      <c r="G18" s="2"/>
    </row>
    <row r="19">
      <c r="A19" s="2" t="inlineStr">
        <is>
          <t xml:space="preserve">Net income — YoY growth %</t>
        </is>
      </c>
      <c r="B19" s="10"/>
      <c r="C19" s="10">
        <f>C13/B13-1</f>
        <v>1.676156583629893</v>
      </c>
      <c r="D19" s="10">
        <f>D13/C13-1</f>
        <v>-0.23603723404255317</v>
      </c>
      <c r="E19" s="10">
        <f>E13/D13-1</f>
        <v>-0.6160139251523064</v>
      </c>
      <c r="F19" s="10">
        <f>F13/E13-1</f>
        <v>-0.11276065276518588</v>
      </c>
      <c r="G19" s="2"/>
    </row>
    <row r="21">
      <c r="A21" s="2" t="inlineStr">
        <is>
          <t xml:space="preserve">Gross margin %</t>
        </is>
      </c>
      <c r="B21" s="10">
        <f>B9/B7</f>
        <v>0.2148224043715847</v>
      </c>
      <c r="C21" s="10">
        <f>C9/C7</f>
        <v>0.2602308499475341</v>
      </c>
      <c r="D21" s="10">
        <f>D9/D7</f>
        <v>0.29903439951719973</v>
      </c>
      <c r="E21" s="10">
        <f>E9/E7</f>
        <v>0.27076047173647827</v>
      </c>
      <c r="F21" s="10">
        <f>F9/F7</f>
        <v>0.2441678520625889</v>
      </c>
      <c r="G21" s="2"/>
    </row>
    <row r="22">
      <c r="A22" s="2" t="inlineStr">
        <is>
          <t xml:space="preserve">Operating margin %</t>
        </is>
      </c>
      <c r="B22" s="10">
        <f>B11/B7</f>
        <v>-0.2832991803278688</v>
      </c>
      <c r="C22" s="10">
        <f>C11/C7</f>
        <v>-0.16754109828611402</v>
      </c>
      <c r="D22" s="10">
        <f>D11/D7</f>
        <v>-0.07115268557634279</v>
      </c>
      <c r="E22" s="10">
        <f>E11/E7</f>
        <v>-0.021244408296055305</v>
      </c>
      <c r="F22" s="10">
        <f>F11/F7</f>
        <v>0.006664295874822191</v>
      </c>
      <c r="G22" s="2"/>
    </row>
    <row r="23">
      <c r="A23" s="2" t="inlineStr">
        <is>
          <t xml:space="preserve">Net margin %</t>
        </is>
      </c>
      <c r="B23" s="10">
        <f>B13/B7</f>
        <v>-0.1919398907103825</v>
      </c>
      <c r="C23" s="10">
        <f>C13/C7</f>
        <v>-0.35070537483968756</v>
      </c>
      <c r="D23" s="10">
        <f>D13/D7</f>
        <v>-0.2311406155703078</v>
      </c>
      <c r="E23" s="10">
        <f>E13/E7</f>
        <v>-0.07176901179341195</v>
      </c>
      <c r="F23" s="10">
        <f>F13/F7</f>
        <v>-0.0556827880512091</v>
      </c>
      <c r="G23" s="2"/>
    </row>
    <row r="25">
      <c r="A25" t="inlineStr">
        <is>
          <t xml:space="preserve">Diluted EPS (EUR)</t>
        </is>
      </c>
      <c r="B25" s="8">
        <v>-4.57</v>
      </c>
      <c r="C25" s="8">
        <v>-11.28</v>
      </c>
      <c r="D25" s="8">
        <v>-8.57</v>
      </c>
      <c r="E25" s="8">
        <v>-3.1</v>
      </c>
      <c r="F25" s="8">
        <v>-2.62</v>
      </c>
    </row>
    <row r="26">
      <c r="A26" s="2" t="inlineStr">
        <is>
          <t xml:space="preserve">Diluted EPS — YoY growth %</t>
        </is>
      </c>
      <c r="B26" s="10"/>
      <c r="C26" s="10">
        <f>C25/B25-1</f>
        <v>1.468271334792122</v>
      </c>
      <c r="D26" s="10">
        <f>D25/C25-1</f>
        <v>-0.24024822695035453</v>
      </c>
      <c r="E26" s="10">
        <f>E25/D25-1</f>
        <v>-0.6382730455075847</v>
      </c>
      <c r="F26" s="10">
        <f>F25/E25-1</f>
        <v>-0.1548387096774193</v>
      </c>
      <c r="G26" s="2"/>
    </row>
    <row r="27">
      <c r="A27" t="inlineStr">
        <is>
          <t xml:space="preserve">Diluted weighted-average shares (millions)</t>
        </is>
      </c>
      <c r="B27" s="9">
        <v>245.87</v>
      </c>
      <c r="C27" s="9">
        <v>266.77</v>
      </c>
      <c r="D27" s="9">
        <v>268.21</v>
      </c>
      <c r="E27" s="9">
        <v>284.25</v>
      </c>
      <c r="F27" s="9">
        <v>298.65</v>
      </c>
    </row>
    <row r="29">
      <c r="A29" s="4" t="inlineStr">
        <is>
          <t xml:space="preserve">REVENUE DISAGGREGATION BY TYPE (as reported)</t>
        </is>
      </c>
      <c r="B29" s="4"/>
      <c r="C29" s="4"/>
      <c r="D29" s="4"/>
      <c r="E29" s="4"/>
      <c r="F29" s="4"/>
      <c r="G29" s="4"/>
    </row>
    <row r="30">
      <c r="A30" t="inlineStr">
        <is>
          <t xml:space="preserve">Commission Fees</t>
        </is>
      </c>
      <c r="C30" s="6">
        <v>3681</v>
      </c>
      <c r="D30" s="6">
        <v>4099</v>
      </c>
      <c r="E30" s="6">
        <v>5093</v>
      </c>
      <c r="F30" s="6">
        <v>5791</v>
      </c>
    </row>
    <row r="31">
      <c r="A31" s="2" t="inlineStr">
        <is>
          <t xml:space="preserve">  YoY growth %</t>
        </is>
      </c>
      <c r="B31" s="10"/>
      <c r="C31" s="10"/>
      <c r="D31" s="10">
        <f>D30/C30-1</f>
        <v>0.11355609888617212</v>
      </c>
      <c r="E31" s="10">
        <f>E30/D30-1</f>
        <v>0.2424981702854354</v>
      </c>
      <c r="F31" s="10">
        <f>F30/E30-1</f>
        <v>0.13705085411348916</v>
      </c>
      <c r="G31" s="2"/>
    </row>
    <row r="32">
      <c r="A32" t="inlineStr">
        <is>
          <t xml:space="preserve">Delivery Fees</t>
        </is>
      </c>
      <c r="C32" s="6">
        <v>2202</v>
      </c>
      <c r="D32" s="6">
        <v>2423</v>
      </c>
      <c r="E32" s="6">
        <v>2966</v>
      </c>
      <c r="F32" s="6">
        <v>3309</v>
      </c>
    </row>
    <row r="33">
      <c r="A33" s="2" t="inlineStr">
        <is>
          <t xml:space="preserve">  YoY growth %</t>
        </is>
      </c>
      <c r="B33" s="10"/>
      <c r="C33" s="10"/>
      <c r="D33" s="10">
        <f>D32/C32-1</f>
        <v>0.10036330608537702</v>
      </c>
      <c r="E33" s="10">
        <f>E32/D32-1</f>
        <v>0.2241023524556336</v>
      </c>
      <c r="F33" s="10">
        <f>F32/E32-1</f>
        <v>0.11564396493594065</v>
      </c>
      <c r="G33" s="2"/>
    </row>
    <row r="34">
      <c r="A34" t="inlineStr">
        <is>
          <t xml:space="preserve">Dmarts (grocery / quick-commerce stores)</t>
        </is>
      </c>
      <c r="C34" s="6">
        <v>1560</v>
      </c>
      <c r="D34" s="6">
        <v>1948</v>
      </c>
      <c r="E34" s="6">
        <v>2445</v>
      </c>
      <c r="F34" s="6">
        <v>2888</v>
      </c>
    </row>
    <row r="35">
      <c r="A35" s="2" t="inlineStr">
        <is>
          <t xml:space="preserve">  YoY growth %</t>
        </is>
      </c>
      <c r="B35" s="10"/>
      <c r="C35" s="10"/>
      <c r="D35" s="10">
        <f>D34/C34-1</f>
        <v>0.24871794871794872</v>
      </c>
      <c r="E35" s="10">
        <f>E34/D34-1</f>
        <v>0.25513347022587274</v>
      </c>
      <c r="F35" s="10">
        <f>F34/E34-1</f>
        <v>0.18118609406952957</v>
      </c>
      <c r="G35" s="2"/>
    </row>
    <row r="36">
      <c r="A36" t="inlineStr">
        <is>
          <t xml:space="preserve">Advertising &amp; Listing Fees</t>
        </is>
      </c>
      <c r="C36" s="6">
        <v>1043</v>
      </c>
      <c r="D36" s="6">
        <v>1260</v>
      </c>
      <c r="E36" s="6">
        <v>1438</v>
      </c>
      <c r="F36" s="6">
        <v>1460</v>
      </c>
    </row>
    <row r="37">
      <c r="A37" s="2" t="inlineStr">
        <is>
          <t xml:space="preserve">  YoY growth %</t>
        </is>
      </c>
      <c r="B37" s="10"/>
      <c r="C37" s="10"/>
      <c r="D37" s="10">
        <f>D36/C36-1</f>
        <v>0.20805369127516785</v>
      </c>
      <c r="E37" s="10">
        <f>E36/D36-1</f>
        <v>0.1412698412698412</v>
      </c>
      <c r="F37" s="10">
        <f>F36/E36-1</f>
        <v>0.015299026425591</v>
      </c>
      <c r="G37" s="2"/>
    </row>
    <row r="38">
      <c r="A38" t="inlineStr">
        <is>
          <t xml:space="preserve">Service Fees</t>
        </is>
      </c>
      <c r="C38" s="6">
        <v>91.4</v>
      </c>
      <c r="D38" s="6">
        <v>197.8</v>
      </c>
      <c r="E38" s="6">
        <v>322.8</v>
      </c>
      <c r="F38" s="6">
        <v>601</v>
      </c>
    </row>
    <row r="39">
      <c r="A39" s="2" t="inlineStr">
        <is>
          <t xml:space="preserve">  YoY growth %</t>
        </is>
      </c>
      <c r="B39" s="10"/>
      <c r="C39" s="10"/>
      <c r="D39" s="10">
        <f>D38/C38-1</f>
        <v>1.164113785557987</v>
      </c>
      <c r="E39" s="10">
        <f>E38/D38-1</f>
        <v>0.6319514661274013</v>
      </c>
      <c r="F39" s="10">
        <f>F38/E38-1</f>
        <v>0.8618339529120198</v>
      </c>
      <c r="G39" s="2"/>
    </row>
    <row r="40">
      <c r="A40" t="inlineStr">
        <is>
          <t xml:space="preserve">Payment Fees</t>
        </is>
      </c>
      <c r="C40" s="6">
        <v>509.9</v>
      </c>
      <c r="D40" s="6">
        <v>530.4</v>
      </c>
      <c r="E40" s="6">
        <v>559.7</v>
      </c>
      <c r="F40" s="6">
        <v>540.8</v>
      </c>
    </row>
    <row r="41">
      <c r="A41" s="2" t="inlineStr">
        <is>
          <t xml:space="preserve">  YoY growth %</t>
        </is>
      </c>
      <c r="B41" s="10"/>
      <c r="C41" s="10"/>
      <c r="D41" s="10">
        <f>D40/C40-1</f>
        <v>0.04020396156109052</v>
      </c>
      <c r="E41" s="10">
        <f>E40/D40-1</f>
        <v>0.055241327300150855</v>
      </c>
      <c r="F41" s="10">
        <f>F40/E40-1</f>
        <v>-0.03376809004824033</v>
      </c>
      <c r="G41" s="2"/>
    </row>
    <row r="42">
      <c r="A42" t="inlineStr">
        <is>
          <t xml:space="preserve">Subscription Fees</t>
        </is>
      </c>
      <c r="C42" s="6">
        <v>49.5</v>
      </c>
      <c r="D42" s="6">
        <v>91.4</v>
      </c>
      <c r="E42" s="6">
        <v>139.6</v>
      </c>
      <c r="F42" s="6">
        <v>256.9</v>
      </c>
    </row>
    <row r="43">
      <c r="A43" s="2" t="inlineStr">
        <is>
          <t xml:space="preserve">  YoY growth %</t>
        </is>
      </c>
      <c r="B43" s="10"/>
      <c r="C43" s="10"/>
      <c r="D43" s="10">
        <f>D42/C42-1</f>
        <v>0.8464646464646466</v>
      </c>
      <c r="E43" s="10">
        <f>E42/D42-1</f>
        <v>0.5273522975929976</v>
      </c>
      <c r="F43" s="10">
        <f>F42/E42-1</f>
        <v>0.8402578796561604</v>
      </c>
      <c r="G43" s="2"/>
    </row>
    <row r="44">
      <c r="A44" t="inlineStr">
        <is>
          <t xml:space="preserve">Other Segment Revenue</t>
        </is>
      </c>
      <c r="C44" s="6">
        <v>236.2</v>
      </c>
      <c r="D44" s="6">
        <v>242.2</v>
      </c>
      <c r="E44" s="6">
        <v>214.6</v>
      </c>
      <c r="F44" s="6">
        <v>151.2</v>
      </c>
    </row>
    <row r="45">
      <c r="A45" s="2" t="inlineStr">
        <is>
          <t xml:space="preserve">  YoY growth %</t>
        </is>
      </c>
      <c r="B45" s="10"/>
      <c r="C45" s="10"/>
      <c r="D45" s="10">
        <f>D44/C44-1</f>
        <v>0.025402201524132195</v>
      </c>
      <c r="E45" s="10">
        <f>E44/D44-1</f>
        <v>-0.11395540875309662</v>
      </c>
      <c r="F45" s="10">
        <f>F44/E44-1</f>
        <v>-0.2954333643988817</v>
      </c>
      <c r="G45" s="2"/>
    </row>
    <row r="46">
      <c r="A46" t="inlineStr">
        <is>
          <t xml:space="preserve">Less: Deductions from Vouchers</t>
        </is>
      </c>
      <c r="C46" s="6">
        <v>-794.8</v>
      </c>
      <c r="D46" s="6">
        <v>-849.8</v>
      </c>
      <c r="E46" s="6">
        <v>-884.1</v>
      </c>
      <c r="F46" s="6">
        <v>-937.8</v>
      </c>
    </row>
    <row r="47">
      <c r="A47" s="2" t="inlineStr">
        <is>
          <t xml:space="preserve">  YoY growth %</t>
        </is>
      </c>
      <c r="B47" s="10"/>
      <c r="C47" s="10"/>
      <c r="D47" s="10">
        <f>D46/C46-1</f>
        <v>0.06919979869149473</v>
      </c>
      <c r="E47" s="10">
        <f>E46/D46-1</f>
        <v>0.04036243822075791</v>
      </c>
      <c r="F47" s="10">
        <f>F46/E46-1</f>
        <v>0.060739735324058186</v>
      </c>
      <c r="G47" s="2"/>
    </row>
    <row r="48">
      <c r="A48" s="5" t="inlineStr">
        <is>
          <t xml:space="preserve">Total revenue (sum of above, check)</t>
        </is>
      </c>
      <c r="B48" s="12"/>
      <c r="C48" s="12">
        <f>C30+C32+C34+C36+C38+C40+C42+C44+C46</f>
        <v>8578.2</v>
      </c>
      <c r="D48" s="12">
        <f>D30+D32+D34+D36+D38+D40+D42+D44+D46</f>
        <v>9942</v>
      </c>
      <c r="E48" s="12">
        <f>E30+E32+E34+E36+E38+E40+E42+E44+E46</f>
        <v>12294.6</v>
      </c>
      <c r="F48" s="12">
        <f>F30+F32+F34+F36+F38+F40+F42+F44+F46</f>
        <v>14060.1</v>
      </c>
    </row>
    <row r="49">
      <c r="A49" s="2" t="inlineStr">
        <is>
          <t xml:space="preserve">Check vs. reported revenue (should be ~0)</t>
        </is>
      </c>
      <c r="B49" s="13"/>
      <c r="C49" s="13">
        <f>C48-C7</f>
        <v>1.2000000000007276</v>
      </c>
      <c r="D49" s="13">
        <f>D48-D7</f>
        <v>0</v>
      </c>
      <c r="E49" s="13">
        <f>E48-E7</f>
        <v>-0.3999999999996362</v>
      </c>
      <c r="F49" s="13">
        <f>F48-F7</f>
        <v>0.1000000000003638</v>
      </c>
      <c r="G49" s="2"/>
    </row>
    <row r="51">
      <c r="A51" s="4" t="inlineStr">
        <is>
          <t xml:space="preserve">KEY NON-IFRS METRICS (as reported by the Company)</t>
        </is>
      </c>
      <c r="B51" s="4"/>
      <c r="C51" s="4"/>
      <c r="D51" s="4"/>
      <c r="E51" s="4"/>
      <c r="F51" s="4"/>
      <c r="G51" s="4"/>
    </row>
    <row r="52">
      <c r="A52" t="inlineStr">
        <is>
          <t xml:space="preserve">Gross Merchandise Value (GMV)</t>
        </is>
      </c>
      <c r="B52" s="6">
        <v>35400</v>
      </c>
      <c r="C52" s="6">
        <v>44600</v>
      </c>
      <c r="D52" s="6">
        <v>47600</v>
      </c>
      <c r="E52" s="6">
        <v>48800</v>
      </c>
      <c r="F52" s="6">
        <v>49200</v>
      </c>
      <c r="G52" s="14">
        <f>(F52/B52)^(1/4)-1</f>
        <v>0.08577655603998369</v>
      </c>
    </row>
    <row r="53">
      <c r="A53" s="2" t="inlineStr">
        <is>
          <t xml:space="preserve">  YoY growth %</t>
        </is>
      </c>
      <c r="B53" s="10"/>
      <c r="C53" s="10">
        <f>C52/B52-1</f>
        <v>0.25988700564971756</v>
      </c>
      <c r="D53" s="10">
        <f>D52/C52-1</f>
        <v>0.06726457399103136</v>
      </c>
      <c r="E53" s="10">
        <f>E52/D52-1</f>
        <v>0.025210084033613356</v>
      </c>
      <c r="F53" s="10">
        <f>F52/E52-1</f>
        <v>0.008196721311475308</v>
      </c>
      <c r="G53" s="2"/>
    </row>
    <row r="54">
      <c r="A54" t="inlineStr">
        <is>
          <t xml:space="preserve">Total Segment Revenue</t>
        </is>
      </c>
      <c r="B54" s="6">
        <v>6600</v>
      </c>
      <c r="C54" s="6">
        <v>9600</v>
      </c>
      <c r="D54" s="6"/>
      <c r="E54" s="6">
        <v>12800</v>
      </c>
      <c r="F54" s="6">
        <v>14800</v>
      </c>
      <c r="G54" s="14">
        <f>(F54/B54)^(1/4)-1</f>
        <v>0.22371263712329648</v>
      </c>
    </row>
    <row r="55">
      <c r="A55" s="2" t="inlineStr">
        <is>
          <t xml:space="preserve">  YoY growth %</t>
        </is>
      </c>
      <c r="B55" s="10"/>
      <c r="C55" s="10">
        <f>C54/B54-1</f>
        <v>0.4545454545454546</v>
      </c>
      <c r="D55" s="10"/>
      <c r="E55" s="10"/>
      <c r="F55" s="10">
        <f>F54/E54-1</f>
        <v>0.15625</v>
      </c>
      <c r="G55" s="2"/>
    </row>
    <row r="56">
      <c r="A56" t="inlineStr">
        <is>
          <t xml:space="preserve">Adjusted EBITDA</t>
        </is>
      </c>
      <c r="B56" s="6">
        <v>-779</v>
      </c>
      <c r="C56" s="6">
        <v>-624</v>
      </c>
      <c r="D56" s="6">
        <v>254</v>
      </c>
      <c r="E56" s="6">
        <v>693</v>
      </c>
      <c r="F56" s="6">
        <v>903</v>
      </c>
    </row>
    <row r="57">
      <c r="A57" s="2" t="inlineStr">
        <is>
          <t xml:space="preserve">  YoY Delta (EUR m)</t>
        </is>
      </c>
      <c r="B57" s="2"/>
      <c r="C57" s="11">
        <f>C56-B56</f>
        <v>155</v>
      </c>
      <c r="D57" s="11">
        <f>D56-C56</f>
        <v>878</v>
      </c>
      <c r="E57" s="11">
        <f>E56-D56</f>
        <v>439</v>
      </c>
      <c r="F57" s="11">
        <f>F56-E56</f>
        <v>210</v>
      </c>
      <c r="G57" s="2"/>
    </row>
    <row r="58">
      <c r="A58" s="2" t="inlineStr">
        <is>
          <t xml:space="preserve">Adjusted EBITDA margin (% of GMV)</t>
        </is>
      </c>
      <c r="B58" s="10">
        <f>B56/B52</f>
        <v>-0.022005649717514123</v>
      </c>
      <c r="C58" s="10">
        <f>C56/C52</f>
        <v>-0.01399103139013453</v>
      </c>
      <c r="D58" s="10">
        <f>D56/D52</f>
        <v>0.0053361344537815126</v>
      </c>
      <c r="E58" s="10">
        <f>E56/E52</f>
        <v>0.014200819672131148</v>
      </c>
      <c r="F58" s="10">
        <f>F56/F52</f>
        <v>0.018353658536585365</v>
      </c>
      <c r="G58" s="2"/>
    </row>
    <row r="60">
      <c r="A60" s="4" t="inlineStr">
        <is>
          <t xml:space="preserve">SOURCES &amp; NOTES</t>
        </is>
      </c>
      <c r="B60" s="4"/>
      <c r="C60" s="4"/>
      <c r="D60" s="4"/>
      <c r="E60" s="4"/>
      <c r="F60" s="4"/>
      <c r="G60" s="4"/>
    </row>
    <row r="61" ht="34.51" customHeight="1">
      <c r="A61" s="15" t="inlineStr">
        <is>
          <t xml:space="preserve">IFRS financials (Revenue, Gross profit, Operating income, Net income, diluted EPS/shares) FY2021–FY2025: S&amp;P Global Market Intelligence and company IFRS consolidated statements (stockanalysis.com, Yahoo Finance), cross-checked — both sources agree on Net Income to the €m.</t>
        </is>
      </c>
      <c r="B61" s="15"/>
      <c r="C61" s="15"/>
      <c r="D61" s="15"/>
      <c r="E61" s="15"/>
      <c r="F61" s="15"/>
      <c r="G61" s="15"/>
    </row>
    <row r="62" ht="34.51" customHeight="1">
      <c r="A62" s="15" t="inlineStr">
        <is>
          <t xml:space="preserve">Cost of revenue', 'Total operating expenses' and 'Net non-operating items &amp; tax, net' are DERIVED plug lines (reported subtotals backed out) — the aggregator data does not disaggregate opex or the interest/tax/JV bridge; these are not standalone company-reported line items.</t>
        </is>
      </c>
      <c r="B62" s="15"/>
      <c r="C62" s="15"/>
      <c r="D62" s="15"/>
      <c r="E62" s="15"/>
      <c r="F62" s="15"/>
      <c r="G62" s="15"/>
    </row>
    <row r="63" ht="34.51" customHeight="1">
      <c r="A63" s="15" t="inlineStr">
        <is>
          <t xml:space="preserve">Revenue disaggregation by fee type, FY2022–FY2025: company-reported revenue composition (stockanalysis.com / Fiscal.ai). FY2021 omitted — Company did not disclose the same fee-type breakdown that year.</t>
        </is>
      </c>
      <c r="B63" s="15"/>
      <c r="C63" s="15"/>
      <c r="D63" s="15"/>
      <c r="E63" s="15"/>
      <c r="F63" s="15"/>
      <c r="G63" s="15"/>
    </row>
    <row r="64" ht="34.51" customHeight="1">
      <c r="A64" s="15" t="inlineStr">
        <is>
          <t xml:space="preserve">GMV and Total Segment Revenue are company-disclosed non-IFRS KPIs from trading updates / FY results press releases (deliveryhero.com newsroom); FY2023 GMV per Feb-2024 unaudited update. Adjusted EBITDA: company-reported for FY2023 (~€254m, disclosed as '&gt;€250m'), FY2024 (€693m, restated from €750m prelim.) and FY2025 (€903m, +30% YoY); FY2021–FY2022 derived from company-disclosed Adjusted EBITDA/GMV margin (-2.2% and -1.4% of GMV, respectively) × reported GMV.</t>
        </is>
      </c>
      <c r="B64" s="15"/>
      <c r="C64" s="15"/>
      <c r="D64" s="15"/>
      <c r="E64" s="15"/>
      <c r="F64" s="15"/>
      <c r="G64" s="15"/>
    </row>
    <row r="65" ht="34.51" customHeight="1">
      <c r="A65" s="15" t="inlineStr">
        <is>
          <t xml:space="preserve">Model compiled August 2026. All figures in EUR unless noted. Totals may not sum exactly due to third-party rounding of source data.</t>
        </is>
      </c>
      <c r="B65" s="15"/>
      <c r="C65" s="15"/>
      <c r="D65" s="15"/>
      <c r="E65" s="15"/>
      <c r="F65" s="15"/>
      <c r="G65" s="15"/>
    </row>
  </sheetData>
  <mergeCells count="12">
    <mergeCell ref="A1:G1"/>
    <mergeCell ref="A2:G2"/>
    <mergeCell ref="A6:G6"/>
    <mergeCell ref="A15:G15"/>
    <mergeCell ref="A29:G29"/>
    <mergeCell ref="A51:G51"/>
    <mergeCell ref="A60:G60"/>
    <mergeCell ref="A61:G61"/>
    <mergeCell ref="A62:G62"/>
    <mergeCell ref="A63:G63"/>
    <mergeCell ref="A64:G64"/>
    <mergeCell ref="A65:G6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2026-08-18T01:16:38Z</dcterms:created>
  <dcterms:modified xsi:type="dcterms:W3CDTF">2026-08-18T01:16:38Z</dcterms:modified>
</cp:coreProperties>
</file>