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6" authorId="0">
      <text>
        <r>
          <t>Derived: FY2024 Adj. EBITDA (€692.5m) was reported as +173% YoY vs FY2023, implying FY2023 Adj. EBITDA ≈ €253.8m. Not a directly reported figure. See Note 2.</t>
        </r>
      </text>
    </comment>
    <comment ref="B48" authorId="0">
      <text>
        <r>
          <t>FY2021 revenue-by-type categories don't fully sum to reported Total Revenue — Advertising, Service, Subscription &amp; Other Segment revenue weren't separately disclosed that year. See Note 6.</t>
        </r>
      </text>
    </comment>
  </commentList>
</comments>
</file>

<file path=xl/sharedStrings.xml><?xml version="1.0" encoding="utf-8"?>
<sst xmlns="http://schemas.openxmlformats.org/spreadsheetml/2006/main" count="89" uniqueCount="63">
  <si>
    <t>Delivery Hero SE (ETR: DHER) — Consolidated Income Statement &amp; Growth Analysis</t>
  </si>
  <si>
    <t>€ in millions, except per-share data  |  Fiscal Year ended December 31  |  IFRS Consolidated Financial Statements</t>
  </si>
  <si>
    <t>Source: Delivery Hero SE financial statements as compiled by S&amp;P Global Market Intelligence (stockanalysis.com); Adj. EBITDA/GMV per Delivery Hero press releases — see Notes</t>
  </si>
  <si>
    <t>CONSOLIDATED INCOME STATEMENT (€m)</t>
  </si>
  <si>
    <t>FY2021A</t>
  </si>
  <si>
    <t>FY2022A</t>
  </si>
  <si>
    <t>FY2023A</t>
  </si>
  <si>
    <t>FY2024A</t>
  </si>
  <si>
    <t>FY2025A</t>
  </si>
  <si>
    <t>CAGR '21-'25</t>
  </si>
  <si>
    <t>Revenue</t>
  </si>
  <si>
    <t xml:space="preserve">  % YoY Growth</t>
  </si>
  <si>
    <t>Cost of Sales (derived)</t>
  </si>
  <si>
    <t>Gross Profit</t>
  </si>
  <si>
    <t xml:space="preserve">  Gross Margin %</t>
  </si>
  <si>
    <t>Operating Expenses (derived, SG&amp;A / marketing / other)</t>
  </si>
  <si>
    <t>EBIT (Operating Income / (Loss))</t>
  </si>
  <si>
    <t>n/m</t>
  </si>
  <si>
    <t xml:space="preserve">  Operating Margin %</t>
  </si>
  <si>
    <t>Memo: Adjusted EBITDA (non-IFRS)</t>
  </si>
  <si>
    <t xml:space="preserve">  Adj. EBITDA Margin %</t>
  </si>
  <si>
    <t>Non-operating items, net (derived)</t>
  </si>
  <si>
    <t>Pretax Income (EBT)</t>
  </si>
  <si>
    <t>Income tax expense &amp; non-controlling interests (derived)</t>
  </si>
  <si>
    <t>Net Income (Loss)</t>
  </si>
  <si>
    <t xml:space="preserve">  Net Margin %</t>
  </si>
  <si>
    <t>Diluted EPS (€)</t>
  </si>
  <si>
    <t>Check: EBIT + Non-op + Tax&amp;NCI = Net Income (should be 0)</t>
  </si>
  <si>
    <t>REVENUE BY TYPE (€m)</t>
  </si>
  <si>
    <t>CAGR</t>
  </si>
  <si>
    <t>Commission Fees</t>
  </si>
  <si>
    <t>Delivery Fees</t>
  </si>
  <si>
    <t>Dmarts (Quick Commerce Own-Retail)</t>
  </si>
  <si>
    <t>Advertising &amp; Listing Fees</t>
  </si>
  <si>
    <t>Service Fees</t>
  </si>
  <si>
    <t>Payment Fees</t>
  </si>
  <si>
    <t>Subscription Fees</t>
  </si>
  <si>
    <t>Other Segment Revenue</t>
  </si>
  <si>
    <t>Less: Deductions from Vouchers</t>
  </si>
  <si>
    <t>Total Revenue (sum of above)</t>
  </si>
  <si>
    <t>Check: ties to Revenue above (should be 0)</t>
  </si>
  <si>
    <t>REVENUE MIX (% of Total Revenue)</t>
  </si>
  <si>
    <t>Commission Fees %</t>
  </si>
  <si>
    <t>Delivery Fees %</t>
  </si>
  <si>
    <t>Dmarts %</t>
  </si>
  <si>
    <t>Advertising &amp; Listing Fees %</t>
  </si>
  <si>
    <t>Service Fees %</t>
  </si>
  <si>
    <t>Payment Fees %</t>
  </si>
  <si>
    <t>Subscription Fees %</t>
  </si>
  <si>
    <t>Other Segment Revenue %</t>
  </si>
  <si>
    <t>Voucher Deductions %</t>
  </si>
  <si>
    <t>Total (memo — sums available categories)</t>
  </si>
  <si>
    <t>MEMO: NON-IFRS OPERATING KPIs</t>
  </si>
  <si>
    <t>GMV (€bn)</t>
  </si>
  <si>
    <t xml:space="preserve">  % YoY Growth (reported currency)</t>
  </si>
  <si>
    <t>Total Segment Revenue (€bn, non-IFRS)</t>
  </si>
  <si>
    <t>NOTES &amp; SOURCES</t>
  </si>
  <si>
    <t>1. Consolidated IFRS income statement figures (Revenue, Gross Profit, EBIT, Net Income, EPS, Pretax/Net margins) sourced from Delivery Hero SE financial statements as compiled by S&amp;P Global Market Intelligence via stockanalysis.com, FY2021–FY2025.</t>
  </si>
  <si>
    <t>2. Adjusted EBITDA is the company's own non-GAAP measure (not comparable to IFRS EBIT). FY2024 (€692.5m) and FY2025 (€903m) per Delivery Hero trading updates (Apr 2025 / Feb 2026). FY2023 (~€253.8m) is derived from the company-disclosed +173% YoY growth in FY2024 Adj. EBITDA vs FY2023. FY2021–FY2022 Adj. EBITDA were not sourced this session (left blank).</t>
  </si>
  <si>
    <t>3. "Cost of Sales" and "Operating Expenses" are derived plug lines (Revenue − Gross Profit; Gross Profit − EBIT) since a granular functional opex breakdown (marketing, G&amp;A, D&amp;A) was not sourced this session; full detail is available in Delivery Hero's Annual Report notes.</t>
  </si>
  <si>
    <t>4. "Non-operating items, net" and "Income tax expense &amp; NCI" are derived plug lines bridging EBIT to reported Net Income via reported Pretax margin (Pretax Income ≈ Pretax margin × Revenue) and reported Net Income.</t>
  </si>
  <si>
    <t>5. GMV and Total Segment Revenue are non-IFRS operating metrics on a broader consolidation basis than IFRS Revenue (include revenue from certain non-consolidated joint ventures/associates); not directly comparable to the IFRS Revenue line above. Only FY2024–FY2025 were sourced this session. Company-reported like-for-like/constant-currency growth for FY2025 was +9% (GMV) and +23.1% (Total Segment Revenue) — differs from the reported-currency growth shown in rows above due to FX and portfolio (scope) changes.</t>
  </si>
  <si>
    <t>6. FY2021 revenue-by-type sub-total does not fully tie to reported Total Revenue (see Check row) because Advertising, Service, Subscription and Other Segment revenue were not separately disclosed for FY2021 on a basis comparable to later years; those amounts are embedded within the categories reported that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</si>
</sst>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(#,##0);-"/>
    <numFmt numFmtId="165" formatCode="0.0%;(0.0%);-"/>
    <numFmt numFmtId="166" formatCode="#,##0.00;(#,##0.00);-"/>
    <numFmt numFmtId="167" formatCode="#,##0.0;(#,##0.0);-"/>
  </numFmts>
  <fonts count="10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i/>
      <color rgb="FF595959"/>
      <sz val="10"/>
      <name val="Calibri"/>
    </font>
    <font>
      <i/>
      <color rgb="FF808080"/>
      <sz val="9"/>
      <name val="Calibri"/>
    </font>
    <font>
      <b/>
      <color rgb="FFFFFFFF"/>
      <sz val="11"/>
      <name val="Calibri"/>
    </font>
    <font>
      <b/>
      <name val="Calibri"/>
    </font>
    <font>
      <b/>
    </font>
    <font>
      <color rgb="FF0000FF"/>
    </font>
    <font>
      <i/>
      <color rgb="FF595959"/>
    </font>
    <font>
      <i/>
      <color rgb="FF595959"/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164" fontId="7" fillId="0" borderId="0" xfId="0" applyNumberFormat="1" applyFont="1"/>
    <xf numFmtId="165" fontId="0" fillId="0" borderId="0" xfId="0" applyNumberFormat="1" applyAlignment="1">
      <alignment horizontal="center"/>
    </xf>
    <xf numFmtId="0" fontId="8" fillId="0" borderId="0" xfId="0" applyFont="1"/>
    <xf numFmtId="165" fontId="0" fillId="0" borderId="0" xfId="0" applyNumberFormat="1"/>
    <xf numFmtId="164" fontId="0" fillId="0" borderId="0" xfId="0" applyNumberFormat="1"/>
    <xf numFmtId="166" fontId="7" fillId="0" borderId="0" xfId="0" applyNumberFormat="1" applyFont="1"/>
    <xf numFmtId="165" fontId="5" fillId="3" borderId="0" xfId="0" applyNumberFormat="1" applyFont="1" applyFill="1" applyAlignment="1">
      <alignment horizontal="center"/>
    </xf>
    <xf numFmtId="167" fontId="0" fillId="0" borderId="0" xfId="0" applyNumberFormat="1"/>
    <xf numFmtId="167" fontId="7" fillId="0" borderId="0" xfId="0" applyNumberFormat="1" applyFont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55" customWidth="1"/>
    <col min="2" max="7" width="13.571428571428571" customWidth="1"/>
  </cols>
  <sheetData>
    <row r="1" ht="19.50487621905476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6" spans="1:7" x14ac:dyDescent="0.25">
      <c r="A6" s="5"/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spans="1:7" x14ac:dyDescent="0.25">
      <c r="A7" s="6" t="s">
        <v>10</v>
      </c>
      <c r="B7" s="7">
        <v>5856</v>
      </c>
      <c r="C7" s="7">
        <v>8577</v>
      </c>
      <c r="D7" s="7">
        <v>9942</v>
      </c>
      <c r="E7" s="7">
        <v>12295</v>
      </c>
      <c r="F7" s="7">
        <v>14060</v>
      </c>
      <c r="G7" s="8">
        <f>(F7/B7)^(1/4)-1</f>
        <v>0.24478992088137197</v>
      </c>
    </row>
    <row r="8" spans="1:7" x14ac:dyDescent="0.25">
      <c r="A8" s="9" t="s">
        <v>11</v>
      </c>
      <c r="B8" s="10"/>
      <c r="C8" s="10">
        <f>C7/B7-1</f>
        <v>0.46465163934426235</v>
      </c>
      <c r="D8" s="10">
        <f>D7/C7-1</f>
        <v>0.1591465547394193</v>
      </c>
      <c r="E8" s="10">
        <f>E7/D7-1</f>
        <v>0.23667270166968413</v>
      </c>
      <c r="F8" s="10">
        <f>F7/E7-1</f>
        <v>0.1435542903619358</v>
      </c>
      <c r="G8" s="8"/>
    </row>
    <row r="9" spans="1:7" x14ac:dyDescent="0.25">
      <c r="A9" s="9" t="s">
        <v>12</v>
      </c>
      <c r="B9" s="11">
        <f>B10-B7</f>
        <v>-4598</v>
      </c>
      <c r="C9" s="11">
        <f>C10-C7</f>
        <v>-6345</v>
      </c>
      <c r="D9" s="11">
        <f>D10-D7</f>
        <v>-6969</v>
      </c>
      <c r="E9" s="11">
        <f>E10-E7</f>
        <v>-8966</v>
      </c>
      <c r="F9" s="11">
        <f>F10-F7</f>
        <v>-10627</v>
      </c>
      <c r="G9" s="8"/>
    </row>
    <row r="10" spans="1:7" x14ac:dyDescent="0.25">
      <c r="A10" s="6" t="s">
        <v>13</v>
      </c>
      <c r="B10" s="7">
        <v>1258</v>
      </c>
      <c r="C10" s="7">
        <v>2232</v>
      </c>
      <c r="D10" s="7">
        <v>2973</v>
      </c>
      <c r="E10" s="7">
        <v>3329</v>
      </c>
      <c r="F10" s="7">
        <v>3433</v>
      </c>
      <c r="G10" s="8">
        <f>(F10/B10)^(1/4)-1</f>
        <v>0.2852816009534269</v>
      </c>
    </row>
    <row r="11" spans="1:7" x14ac:dyDescent="0.25">
      <c r="A11" s="9" t="s">
        <v>14</v>
      </c>
      <c r="B11" s="10">
        <f>B10/B7</f>
        <v>0.2148224043715847</v>
      </c>
      <c r="C11" s="10">
        <f>C10/C7</f>
        <v>0.2602308499475341</v>
      </c>
      <c r="D11" s="10">
        <f>D10/D7</f>
        <v>0.29903439951719973</v>
      </c>
      <c r="E11" s="10">
        <f>E10/E7</f>
        <v>0.27076047173647827</v>
      </c>
      <c r="F11" s="10">
        <f>F10/F7</f>
        <v>0.2441678520625889</v>
      </c>
      <c r="G11" s="8"/>
    </row>
    <row r="12" spans="1:7" x14ac:dyDescent="0.25">
      <c r="A12" s="9" t="s">
        <v>11</v>
      </c>
      <c r="B12" s="10"/>
      <c r="C12" s="10">
        <f>C10/B10-1</f>
        <v>0.7742448330683624</v>
      </c>
      <c r="D12" s="10">
        <f>D10/C10-1</f>
        <v>0.331989247311828</v>
      </c>
      <c r="E12" s="10">
        <f>E10/D10-1</f>
        <v>0.11974436596030946</v>
      </c>
      <c r="F12" s="10">
        <f>F10/E10-1</f>
        <v>0.031240612796635592</v>
      </c>
      <c r="G12" s="8"/>
    </row>
    <row r="13" spans="1:7" x14ac:dyDescent="0.25">
      <c r="A13" s="9" t="s">
        <v>15</v>
      </c>
      <c r="B13" s="11">
        <f>B14-B10</f>
        <v>-2917</v>
      </c>
      <c r="C13" s="11">
        <f>C14-C10</f>
        <v>-3669</v>
      </c>
      <c r="D13" s="11">
        <f>D14-D10</f>
        <v>-3680.4</v>
      </c>
      <c r="E13" s="11">
        <f>E14-E10</f>
        <v>-3590.2</v>
      </c>
      <c r="F13" s="11">
        <f>F14-F10</f>
        <v>-3339.3</v>
      </c>
      <c r="G13" s="8"/>
    </row>
    <row r="14" spans="1:7" x14ac:dyDescent="0.25">
      <c r="A14" s="6" t="s">
        <v>16</v>
      </c>
      <c r="B14" s="7">
        <v>-1659</v>
      </c>
      <c r="C14" s="7">
        <v>-1437</v>
      </c>
      <c r="D14" s="7">
        <v>-707.4</v>
      </c>
      <c r="E14" s="7">
        <v>-261.2</v>
      </c>
      <c r="F14" s="7">
        <v>93.7</v>
      </c>
      <c r="G14" s="8" t="s">
        <v>17</v>
      </c>
    </row>
    <row r="15" spans="1:7" x14ac:dyDescent="0.25">
      <c r="A15" s="9" t="s">
        <v>18</v>
      </c>
      <c r="B15" s="10">
        <f>B14/B7</f>
        <v>-0.2832991803278688</v>
      </c>
      <c r="C15" s="10">
        <f>C14/C7</f>
        <v>-0.16754109828611402</v>
      </c>
      <c r="D15" s="10">
        <f>D14/D7</f>
        <v>-0.07115268557634279</v>
      </c>
      <c r="E15" s="10">
        <f>E14/E7</f>
        <v>-0.021244408296055305</v>
      </c>
      <c r="F15" s="10">
        <f>F14/F7</f>
        <v>0.006664295874822191</v>
      </c>
      <c r="G15" s="8"/>
    </row>
    <row r="16" spans="1:7" x14ac:dyDescent="0.25">
      <c r="A16" s="9" t="s">
        <v>19</v>
      </c>
      <c r="B16" s="11"/>
      <c r="C16" s="11"/>
      <c r="D16" s="7">
        <v>253.8</v>
      </c>
      <c r="E16" s="7">
        <v>692.5</v>
      </c>
      <c r="F16" s="7">
        <v>903</v>
      </c>
      <c r="G16" s="8">
        <f>(F16/D16)^(1/2)-1</f>
        <v>0.8862448467124857</v>
      </c>
    </row>
    <row r="17" spans="1:7" x14ac:dyDescent="0.25">
      <c r="A17" s="9" t="s">
        <v>20</v>
      </c>
      <c r="B17" s="10"/>
      <c r="C17" s="10"/>
      <c r="D17" s="10">
        <f>D16/D7</f>
        <v>0.025528062764031384</v>
      </c>
      <c r="E17" s="10">
        <f>E16/E7</f>
        <v>0.056323708824725496</v>
      </c>
      <c r="F17" s="10">
        <f>F16/F7</f>
        <v>0.06422475106685634</v>
      </c>
      <c r="G17" s="8"/>
    </row>
    <row r="18" spans="1:7" x14ac:dyDescent="0.25">
      <c r="A18" s="9"/>
      <c r="G18" s="8"/>
    </row>
    <row r="19" spans="1:7" x14ac:dyDescent="0.25">
      <c r="A19" s="9" t="s">
        <v>21</v>
      </c>
      <c r="B19" s="11">
        <f>B20-B14</f>
        <v>676.3</v>
      </c>
      <c r="C19" s="11">
        <f>C20-C14</f>
        <v>-1414.9</v>
      </c>
      <c r="D19" s="11">
        <f>D20-D14</f>
        <v>-1455</v>
      </c>
      <c r="E19" s="11">
        <f>E20-E14</f>
        <v>-281.00000000000006</v>
      </c>
      <c r="F19" s="11">
        <f>F20-F14</f>
        <v>-561.9</v>
      </c>
      <c r="G19" s="8"/>
    </row>
    <row r="20" spans="1:7" x14ac:dyDescent="0.25">
      <c r="A20" s="6" t="s">
        <v>22</v>
      </c>
      <c r="B20" s="7">
        <v>-982.7</v>
      </c>
      <c r="C20" s="7">
        <v>-2851.9</v>
      </c>
      <c r="D20" s="7">
        <v>-2162.4</v>
      </c>
      <c r="E20" s="7">
        <v>-542.2</v>
      </c>
      <c r="F20" s="7">
        <v>-468.2</v>
      </c>
      <c r="G20" s="8">
        <f>(F20/B20)^(1/4)-1</f>
        <v>-0.1691882819799423</v>
      </c>
    </row>
    <row r="21" spans="1:7" x14ac:dyDescent="0.25">
      <c r="A21" s="9" t="s">
        <v>23</v>
      </c>
      <c r="B21" s="11">
        <f>B22-B20</f>
        <v>-141.29999999999995</v>
      </c>
      <c r="C21" s="11">
        <f>C22-C20</f>
        <v>-156.0999999999999</v>
      </c>
      <c r="D21" s="11">
        <f>D22-D20</f>
        <v>-135.5999999999999</v>
      </c>
      <c r="E21" s="11">
        <f>E22-E20</f>
        <v>-340.19999999999993</v>
      </c>
      <c r="F21" s="11">
        <f>F22-F20</f>
        <v>-314.7</v>
      </c>
      <c r="G21" s="8"/>
    </row>
    <row r="22" spans="1:7" x14ac:dyDescent="0.25">
      <c r="A22" s="6" t="s">
        <v>24</v>
      </c>
      <c r="B22" s="7">
        <v>-1124</v>
      </c>
      <c r="C22" s="7">
        <v>-3008</v>
      </c>
      <c r="D22" s="7">
        <v>-2298</v>
      </c>
      <c r="E22" s="7">
        <v>-882.4</v>
      </c>
      <c r="F22" s="7">
        <v>-782.9</v>
      </c>
      <c r="G22" s="8">
        <f>(F22/B22)^(1/4)-1</f>
        <v>-0.08644437617846334</v>
      </c>
    </row>
    <row r="23" spans="1:7" x14ac:dyDescent="0.25">
      <c r="A23" s="9" t="s">
        <v>25</v>
      </c>
      <c r="B23" s="10">
        <f>B22/B7</f>
        <v>-0.1919398907103825</v>
      </c>
      <c r="C23" s="10">
        <f>C22/C7</f>
        <v>-0.35070537483968756</v>
      </c>
      <c r="D23" s="10">
        <f>D22/D7</f>
        <v>-0.2311406155703078</v>
      </c>
      <c r="E23" s="10">
        <f>E22/E7</f>
        <v>-0.07176901179341195</v>
      </c>
      <c r="F23" s="10">
        <f>F22/F7</f>
        <v>-0.0556827880512091</v>
      </c>
      <c r="G23" s="8"/>
    </row>
    <row r="24" spans="1:7" x14ac:dyDescent="0.25">
      <c r="A24" s="9" t="s">
        <v>11</v>
      </c>
      <c r="B24" s="10"/>
      <c r="C24" s="10">
        <f>C22/B22-1</f>
        <v>1.676156583629893</v>
      </c>
      <c r="D24" s="10">
        <f>D22/C22-1</f>
        <v>-0.23603723404255317</v>
      </c>
      <c r="E24" s="10">
        <f>E22/D22-1</f>
        <v>-0.6160139251523064</v>
      </c>
      <c r="F24" s="10">
        <f>F22/E22-1</f>
        <v>-0.11276065276518588</v>
      </c>
      <c r="G24" s="8"/>
    </row>
    <row r="25" spans="1:7" x14ac:dyDescent="0.25">
      <c r="A25" s="6" t="s">
        <v>26</v>
      </c>
      <c r="B25" s="12">
        <v>-4.57</v>
      </c>
      <c r="C25" s="12">
        <v>-11.28</v>
      </c>
      <c r="D25" s="12">
        <v>-8.57</v>
      </c>
      <c r="E25" s="12">
        <v>-3.1</v>
      </c>
      <c r="F25" s="12">
        <v>-2.62</v>
      </c>
      <c r="G25" s="8">
        <f>(F25/B25)^(1/4)-1</f>
        <v>-0.1298456956891123</v>
      </c>
    </row>
    <row r="26" spans="1:7" x14ac:dyDescent="0.25">
      <c r="A26" s="9" t="s">
        <v>27</v>
      </c>
      <c r="B26" s="11">
        <f>B14+B19+B21-B22</f>
        <v>0</v>
      </c>
      <c r="C26" s="11">
        <f>C14+C19+C21-C22</f>
        <v>0</v>
      </c>
      <c r="D26" s="11">
        <f>D14+D19+D21-D22</f>
        <v>0</v>
      </c>
      <c r="E26" s="11">
        <f>E14+E19+E21-E22</f>
        <v>0</v>
      </c>
      <c r="F26" s="11">
        <f>F14+F19+F21-F22</f>
        <v>0</v>
      </c>
      <c r="G26" s="8"/>
    </row>
    <row r="27" spans="1:7" x14ac:dyDescent="0.25">
      <c r="G27" s="8"/>
    </row>
    <row r="28" spans="1:7" x14ac:dyDescent="0.25">
      <c r="A28" s="4" t="s">
        <v>28</v>
      </c>
      <c r="B28" s="4"/>
      <c r="C28" s="4"/>
      <c r="D28" s="4"/>
      <c r="E28" s="4"/>
      <c r="F28" s="4"/>
      <c r="G28" s="4"/>
    </row>
    <row r="29" spans="1:7" x14ac:dyDescent="0.25">
      <c r="A29" s="5"/>
      <c r="B29" s="5" t="s">
        <v>4</v>
      </c>
      <c r="C29" s="5" t="s">
        <v>5</v>
      </c>
      <c r="D29" s="5" t="s">
        <v>6</v>
      </c>
      <c r="E29" s="5" t="s">
        <v>7</v>
      </c>
      <c r="F29" s="5" t="s">
        <v>8</v>
      </c>
      <c r="G29" s="13" t="s">
        <v>29</v>
      </c>
    </row>
    <row r="30" spans="1:7" x14ac:dyDescent="0.25">
      <c r="A30" t="s">
        <v>30</v>
      </c>
      <c r="B30" s="7">
        <v>3001</v>
      </c>
      <c r="C30" s="7">
        <v>3681</v>
      </c>
      <c r="D30" s="7">
        <v>4099</v>
      </c>
      <c r="E30" s="7">
        <v>5093</v>
      </c>
      <c r="F30" s="7">
        <v>5791</v>
      </c>
      <c r="G30" s="8">
        <f>(F30/B30)^(1/4)-1</f>
        <v>0.1786148056952821</v>
      </c>
    </row>
    <row r="31" spans="1:7" x14ac:dyDescent="0.25">
      <c r="A31" s="9" t="s">
        <v>11</v>
      </c>
      <c r="B31" s="10"/>
      <c r="C31" s="10">
        <f>C30/B30-1</f>
        <v>0.22659113628790406</v>
      </c>
      <c r="D31" s="10">
        <f>D30/C30-1</f>
        <v>0.11355609888617213</v>
      </c>
      <c r="E31" s="10">
        <f>E30/D30-1</f>
        <v>0.2424981702854354</v>
      </c>
      <c r="F31" s="10">
        <f>F30/E30-1</f>
        <v>0.13705085411348916</v>
      </c>
      <c r="G31" s="8"/>
    </row>
    <row r="32" spans="1:7" x14ac:dyDescent="0.25">
      <c r="A32" s="9" t="s">
        <v>31</v>
      </c>
      <c r="B32" s="7">
        <v>1414</v>
      </c>
      <c r="C32" s="7">
        <v>2202</v>
      </c>
      <c r="D32" s="7">
        <v>2423</v>
      </c>
      <c r="E32" s="7">
        <v>2966</v>
      </c>
      <c r="F32" s="7">
        <v>3309</v>
      </c>
      <c r="G32" s="8">
        <f>(F32/B32)^(1/4)-1</f>
        <v>0.2368352078871856</v>
      </c>
    </row>
    <row r="33" spans="1:7" x14ac:dyDescent="0.25">
      <c r="A33" s="9" t="s">
        <v>11</v>
      </c>
      <c r="B33" s="10"/>
      <c r="C33" s="10">
        <f>C32/B32-1</f>
        <v>0.5572842998585572</v>
      </c>
      <c r="D33" s="10">
        <f>D32/C32-1</f>
        <v>0.10036330608537702</v>
      </c>
      <c r="E33" s="10">
        <f>E32/D32-1</f>
        <v>0.2241023524556336</v>
      </c>
      <c r="F33" s="10">
        <f>F32/E32-1</f>
        <v>0.11564396493594065</v>
      </c>
      <c r="G33" s="8"/>
    </row>
    <row r="34" spans="1:7" x14ac:dyDescent="0.25">
      <c r="A34" s="9" t="s">
        <v>32</v>
      </c>
      <c r="B34" s="7">
        <v>848.3</v>
      </c>
      <c r="C34" s="7">
        <v>1560</v>
      </c>
      <c r="D34" s="7">
        <v>1948</v>
      </c>
      <c r="E34" s="7">
        <v>2445</v>
      </c>
      <c r="F34" s="7">
        <v>2888</v>
      </c>
      <c r="G34" s="8">
        <f>(F34/B34)^(1/4)-1</f>
        <v>0.3583507612353991</v>
      </c>
    </row>
    <row r="35" spans="1:7" x14ac:dyDescent="0.25">
      <c r="A35" s="9" t="s">
        <v>11</v>
      </c>
      <c r="B35" s="10"/>
      <c r="C35" s="10">
        <f>C34/B34-1</f>
        <v>0.8389720617706</v>
      </c>
      <c r="D35" s="10">
        <f>D34/C34-1</f>
        <v>0.24871794871794872</v>
      </c>
      <c r="E35" s="10">
        <f>E34/D34-1</f>
        <v>0.25513347022587274</v>
      </c>
      <c r="F35" s="10">
        <f>F34/E34-1</f>
        <v>0.18118609406952957</v>
      </c>
      <c r="G35" s="8"/>
    </row>
    <row r="36" spans="1:7" x14ac:dyDescent="0.25">
      <c r="A36" s="9" t="s">
        <v>33</v>
      </c>
      <c r="B36" s="11"/>
      <c r="C36" s="7">
        <v>1043</v>
      </c>
      <c r="D36" s="7">
        <v>1260</v>
      </c>
      <c r="E36" s="7">
        <v>1438</v>
      </c>
      <c r="F36" s="7">
        <v>1460</v>
      </c>
      <c r="G36" s="8">
        <f>(F36/C36)^(1/3)-1</f>
        <v>0.11863786505904095</v>
      </c>
    </row>
    <row r="37" spans="1:7" x14ac:dyDescent="0.25">
      <c r="A37" s="9" t="s">
        <v>11</v>
      </c>
      <c r="B37" s="10"/>
      <c r="C37" s="10"/>
      <c r="D37" s="10">
        <f>D36/C36-1</f>
        <v>0.20805369127516782</v>
      </c>
      <c r="E37" s="10">
        <f>E36/D36-1</f>
        <v>0.1412698412698412</v>
      </c>
      <c r="F37" s="10">
        <f>F36/E36-1</f>
        <v>0.015299026425591</v>
      </c>
      <c r="G37" s="8"/>
    </row>
    <row r="38" spans="1:7" x14ac:dyDescent="0.25">
      <c r="A38" s="9" t="s">
        <v>34</v>
      </c>
      <c r="B38" s="11"/>
      <c r="C38" s="7">
        <v>91.4</v>
      </c>
      <c r="D38" s="7">
        <v>197.8</v>
      </c>
      <c r="E38" s="7">
        <v>322.8</v>
      </c>
      <c r="F38" s="7">
        <v>601</v>
      </c>
      <c r="G38" s="8">
        <f>(F38/C38)^(1/3)-1</f>
        <v>0.8734528123252856</v>
      </c>
    </row>
    <row r="39" spans="1:7" x14ac:dyDescent="0.25">
      <c r="A39" s="9" t="s">
        <v>11</v>
      </c>
      <c r="B39" s="10"/>
      <c r="C39" s="10"/>
      <c r="D39" s="10">
        <f>D38/C38-1</f>
        <v>1.164113785557987</v>
      </c>
      <c r="E39" s="10">
        <f>E38/D38-1</f>
        <v>0.6319514661274013</v>
      </c>
      <c r="F39" s="10">
        <f>F38/E38-1</f>
        <v>0.8618339529120198</v>
      </c>
      <c r="G39" s="8"/>
    </row>
    <row r="40" spans="1:7" x14ac:dyDescent="0.25">
      <c r="A40" s="9" t="s">
        <v>35</v>
      </c>
      <c r="B40" s="7">
        <v>407.6</v>
      </c>
      <c r="C40" s="7">
        <v>509.9</v>
      </c>
      <c r="D40" s="7">
        <v>530.4</v>
      </c>
      <c r="E40" s="7">
        <v>559.7</v>
      </c>
      <c r="F40" s="7">
        <v>540.8</v>
      </c>
      <c r="G40" s="8">
        <f>(F40/B40)^(1/4)-1</f>
        <v>0.07324933214089513</v>
      </c>
    </row>
    <row r="41" spans="1:7" x14ac:dyDescent="0.25">
      <c r="A41" s="9" t="s">
        <v>11</v>
      </c>
      <c r="B41" s="10"/>
      <c r="C41" s="10">
        <f>C40/B40-1</f>
        <v>0.250981354268891</v>
      </c>
      <c r="D41" s="10">
        <f>D40/C40-1</f>
        <v>0.04020396156109052</v>
      </c>
      <c r="E41" s="10">
        <f>E40/D40-1</f>
        <v>0.055241327300150855</v>
      </c>
      <c r="F41" s="10">
        <f>F40/E40-1</f>
        <v>-0.03376809004824033</v>
      </c>
      <c r="G41" s="8"/>
    </row>
    <row r="42" spans="1:7" x14ac:dyDescent="0.25">
      <c r="A42" s="9" t="s">
        <v>36</v>
      </c>
      <c r="B42" s="11"/>
      <c r="C42" s="7">
        <v>49.5</v>
      </c>
      <c r="D42" s="7">
        <v>91.4</v>
      </c>
      <c r="E42" s="7">
        <v>139.6</v>
      </c>
      <c r="F42" s="7">
        <v>256.9</v>
      </c>
      <c r="G42" s="8">
        <f>(F42/C42)^(1/3)-1</f>
        <v>0.7313557027799635</v>
      </c>
    </row>
    <row r="43" spans="1:7" x14ac:dyDescent="0.25">
      <c r="A43" s="9" t="s">
        <v>11</v>
      </c>
      <c r="B43" s="10"/>
      <c r="C43" s="10"/>
      <c r="D43" s="10">
        <f>D42/C42-1</f>
        <v>0.8464646464646466</v>
      </c>
      <c r="E43" s="10">
        <f>E42/D42-1</f>
        <v>0.5273522975929976</v>
      </c>
      <c r="F43" s="10">
        <f>F42/E42-1</f>
        <v>0.8402578796561604</v>
      </c>
      <c r="G43" s="8"/>
    </row>
    <row r="44" spans="1:7" x14ac:dyDescent="0.25">
      <c r="A44" s="9" t="s">
        <v>37</v>
      </c>
      <c r="B44" s="11"/>
      <c r="C44" s="7">
        <v>236.2</v>
      </c>
      <c r="D44" s="7">
        <v>242.2</v>
      </c>
      <c r="E44" s="7">
        <v>214.6</v>
      </c>
      <c r="F44" s="7">
        <v>151.2</v>
      </c>
      <c r="G44" s="8">
        <f>(F44/C44)^(1/3)-1</f>
        <v>-0.13816532007284077</v>
      </c>
    </row>
    <row r="45" spans="1:7" x14ac:dyDescent="0.25">
      <c r="A45" s="9" t="s">
        <v>11</v>
      </c>
      <c r="B45" s="10"/>
      <c r="C45" s="10"/>
      <c r="D45" s="10">
        <f>D44/C44-1</f>
        <v>0.025402201524132195</v>
      </c>
      <c r="E45" s="10">
        <f>E44/D44-1</f>
        <v>-0.11395540875309662</v>
      </c>
      <c r="F45" s="10">
        <f>F44/E44-1</f>
        <v>-0.2954333643988817</v>
      </c>
      <c r="G45" s="8"/>
    </row>
    <row r="46" spans="1:7" x14ac:dyDescent="0.25">
      <c r="A46" t="s">
        <v>38</v>
      </c>
      <c r="B46" s="7">
        <v>-774.6</v>
      </c>
      <c r="C46" s="7">
        <v>-794.8</v>
      </c>
      <c r="D46" s="7">
        <v>-849.8</v>
      </c>
      <c r="E46" s="7">
        <v>-884.1</v>
      </c>
      <c r="F46" s="7">
        <v>-937.8</v>
      </c>
      <c r="G46" s="8">
        <f>(F46/B46)^(1/4)-1</f>
        <v>0.04895820393072392</v>
      </c>
    </row>
    <row r="47" spans="1:7" x14ac:dyDescent="0.25">
      <c r="A47" s="6" t="s">
        <v>39</v>
      </c>
      <c r="B47" s="11">
        <f>SUM(B30,B32,B34,B36,B38,B40,B42,B44,B46)</f>
        <v>4896.3</v>
      </c>
      <c r="C47" s="11">
        <f>SUM(C30,C32,C34,C36,C38,C40,C42,C44,C46)</f>
        <v>8578.2</v>
      </c>
      <c r="D47" s="11">
        <f>SUM(D30,D32,D34,D36,D38,D40,D42,D44,D46)</f>
        <v>9942</v>
      </c>
      <c r="E47" s="11">
        <f>SUM(E30,E32,E34,E36,E38,E40,E42,E44,E46)</f>
        <v>12294.6</v>
      </c>
      <c r="F47" s="11">
        <f>SUM(F30,F32,F34,F36,F38,F40,F42,F44,F46)</f>
        <v>14060.1</v>
      </c>
      <c r="G47" s="8">
        <f>(F47/B47)^(1/4)-1</f>
        <v>0.30175752695070557</v>
      </c>
    </row>
    <row r="48" spans="1:7" x14ac:dyDescent="0.25">
      <c r="A48" s="9" t="s">
        <v>40</v>
      </c>
      <c r="B48" s="11">
        <f>B47-B7</f>
        <v>-959.6999999999998</v>
      </c>
      <c r="C48" s="11">
        <f>C47-C7</f>
        <v>1.2000000000007276</v>
      </c>
      <c r="D48" s="11">
        <f>D47-D7</f>
        <v>0</v>
      </c>
      <c r="E48" s="11">
        <f>E47-E7</f>
        <v>-0.3999999999996362</v>
      </c>
      <c r="F48" s="11">
        <f>F47-F7</f>
        <v>0.1000000000003638</v>
      </c>
      <c r="G48" s="8"/>
    </row>
    <row r="50" spans="1:7" x14ac:dyDescent="0.25">
      <c r="A50" s="4" t="s">
        <v>41</v>
      </c>
      <c r="B50" s="4"/>
      <c r="C50" s="4"/>
      <c r="D50" s="4"/>
      <c r="E50" s="4"/>
      <c r="F50" s="4"/>
      <c r="G50" s="4"/>
    </row>
    <row r="51" spans="1:7" x14ac:dyDescent="0.25">
      <c r="A51" s="5"/>
      <c r="B51" s="5" t="s">
        <v>4</v>
      </c>
      <c r="C51" s="5" t="s">
        <v>5</v>
      </c>
      <c r="D51" s="5" t="s">
        <v>6</v>
      </c>
      <c r="E51" s="5" t="s">
        <v>7</v>
      </c>
      <c r="F51" s="5" t="s">
        <v>8</v>
      </c>
      <c r="G51" s="5"/>
    </row>
    <row r="52" spans="1:6" x14ac:dyDescent="0.25">
      <c r="A52" s="9" t="s">
        <v>42</v>
      </c>
      <c r="B52" s="10">
        <f>B30/B7</f>
        <v>0.5124658469945356</v>
      </c>
      <c r="C52" s="10">
        <f>C30/C7</f>
        <v>0.42917103882476393</v>
      </c>
      <c r="D52" s="10">
        <f>D30/D7</f>
        <v>0.4122912894789781</v>
      </c>
      <c r="E52" s="10">
        <f>E30/E7</f>
        <v>0.4142334282228548</v>
      </c>
      <c r="F52" s="10">
        <f>F30/F7</f>
        <v>0.411877667140825</v>
      </c>
    </row>
    <row r="53" spans="1:6" x14ac:dyDescent="0.25">
      <c r="A53" s="9" t="s">
        <v>43</v>
      </c>
      <c r="B53" s="10">
        <f>B32/B7</f>
        <v>0.24146174863387979</v>
      </c>
      <c r="C53" s="10">
        <f>C32/C7</f>
        <v>0.25673312346974464</v>
      </c>
      <c r="D53" s="10">
        <f>D32/D7</f>
        <v>0.24371353852343594</v>
      </c>
      <c r="E53" s="10">
        <f>E32/E7</f>
        <v>0.2412362749084994</v>
      </c>
      <c r="F53" s="10">
        <f>F32/F7</f>
        <v>0.23534850640113797</v>
      </c>
    </row>
    <row r="54" spans="1:6" x14ac:dyDescent="0.25">
      <c r="A54" s="9" t="s">
        <v>44</v>
      </c>
      <c r="B54" s="10">
        <f>B34/B7</f>
        <v>0.14485997267759562</v>
      </c>
      <c r="C54" s="10">
        <f>C34/C7</f>
        <v>0.18188177684505072</v>
      </c>
      <c r="D54" s="10">
        <f>D34/D7</f>
        <v>0.19593643130154897</v>
      </c>
      <c r="E54" s="10">
        <f>E34/E7</f>
        <v>0.1988613257421716</v>
      </c>
      <c r="F54" s="10">
        <f>F34/F7</f>
        <v>0.20540540540540542</v>
      </c>
    </row>
    <row r="55" spans="1:6" x14ac:dyDescent="0.25">
      <c r="A55" s="9" t="s">
        <v>45</v>
      </c>
      <c r="B55" s="10"/>
      <c r="C55" s="10">
        <f>C36/C7</f>
        <v>0.12160429054447942</v>
      </c>
      <c r="D55" s="10">
        <f>D36/D7</f>
        <v>0.12673506336753168</v>
      </c>
      <c r="E55" s="10">
        <f>E36/E7</f>
        <v>0.11695811305408703</v>
      </c>
      <c r="F55" s="10">
        <f>F36/F7</f>
        <v>0.10384068278805121</v>
      </c>
    </row>
    <row r="56" spans="1:6" x14ac:dyDescent="0.25">
      <c r="A56" s="9" t="s">
        <v>46</v>
      </c>
      <c r="B56" s="10"/>
      <c r="C56" s="10">
        <f>C38/C7</f>
        <v>0.010656406668998485</v>
      </c>
      <c r="D56" s="10">
        <f>D38/D7</f>
        <v>0.019895393281029974</v>
      </c>
      <c r="E56" s="10">
        <f>E38/E7</f>
        <v>0.026254575030500205</v>
      </c>
      <c r="F56" s="10">
        <f>F38/F7</f>
        <v>0.042745376955903275</v>
      </c>
    </row>
    <row r="57" spans="1:6" x14ac:dyDescent="0.25">
      <c r="A57" s="9" t="s">
        <v>47</v>
      </c>
      <c r="B57" s="10">
        <f>B40/B7</f>
        <v>0.06960382513661202</v>
      </c>
      <c r="C57" s="10">
        <f>C40/C7</f>
        <v>0.059449691034161124</v>
      </c>
      <c r="D57" s="10">
        <f>D40/D7</f>
        <v>0.05334942667471333</v>
      </c>
      <c r="E57" s="10">
        <f>E40/E7</f>
        <v>0.04552257015046767</v>
      </c>
      <c r="F57" s="10">
        <f>F40/F7</f>
        <v>0.03846372688477951</v>
      </c>
    </row>
    <row r="58" spans="1:6" x14ac:dyDescent="0.25">
      <c r="A58" s="9" t="s">
        <v>48</v>
      </c>
      <c r="B58" s="10"/>
      <c r="C58" s="10">
        <f>C42/C7</f>
        <v>0.005771248688352571</v>
      </c>
      <c r="D58" s="10">
        <f>D42/D7</f>
        <v>0.009193321263327298</v>
      </c>
      <c r="E58" s="10">
        <f>E42/E7</f>
        <v>0.011354209028060187</v>
      </c>
      <c r="F58" s="10">
        <f>F42/F7</f>
        <v>0.018271692745376954</v>
      </c>
    </row>
    <row r="59" spans="1:6" x14ac:dyDescent="0.25">
      <c r="A59" s="9" t="s">
        <v>49</v>
      </c>
      <c r="B59" s="10"/>
      <c r="C59" s="10">
        <f>C44/C7</f>
        <v>0.027538766468462164</v>
      </c>
      <c r="D59" s="10">
        <f>D44/D7</f>
        <v>0.02436129551398109</v>
      </c>
      <c r="E59" s="10">
        <f>E44/E7</f>
        <v>0.017454249694997967</v>
      </c>
      <c r="F59" s="10">
        <f>F44/F7</f>
        <v>0.010753911806543384</v>
      </c>
    </row>
    <row r="60" spans="1:6" x14ac:dyDescent="0.25">
      <c r="A60" s="9" t="s">
        <v>50</v>
      </c>
      <c r="B60" s="10">
        <f>B46/B7</f>
        <v>-0.13227459016393442</v>
      </c>
      <c r="C60" s="10">
        <f>C46/C7</f>
        <v>-0.09266643348490147</v>
      </c>
      <c r="D60" s="10">
        <f>D46/D7</f>
        <v>-0.08547575940454637</v>
      </c>
      <c r="E60" s="10">
        <f>E46/E7</f>
        <v>-0.07190727938186255</v>
      </c>
      <c r="F60" s="10">
        <f>F46/F7</f>
        <v>-0.06669985775248932</v>
      </c>
    </row>
    <row r="61" spans="1:6" x14ac:dyDescent="0.25">
      <c r="A61" s="9" t="s">
        <v>51</v>
      </c>
      <c r="B61" s="10">
        <f>SUM(B52:B60)</f>
        <v>0.8361168032786886</v>
      </c>
      <c r="C61" s="10">
        <f>SUM(C52:C60)</f>
        <v>1.0001399090591114</v>
      </c>
      <c r="D61" s="10">
        <f>SUM(D52:D60)</f>
        <v>1.0000000000000002</v>
      </c>
      <c r="E61" s="10">
        <f>SUM(E52:E60)</f>
        <v>0.9999674664497763</v>
      </c>
      <c r="F61" s="10">
        <f>SUM(F52:F60)</f>
        <v>1.0000071123755336</v>
      </c>
    </row>
    <row r="63" spans="1:7" x14ac:dyDescent="0.25">
      <c r="A63" s="4" t="s">
        <v>52</v>
      </c>
      <c r="B63" s="4"/>
      <c r="C63" s="4"/>
      <c r="D63" s="4"/>
      <c r="E63" s="4"/>
      <c r="F63" s="4"/>
      <c r="G63" s="4"/>
    </row>
    <row r="64" spans="1:7" x14ac:dyDescent="0.25">
      <c r="A64" s="5"/>
      <c r="B64" s="5" t="s">
        <v>4</v>
      </c>
      <c r="C64" s="5" t="s">
        <v>5</v>
      </c>
      <c r="D64" s="5" t="s">
        <v>6</v>
      </c>
      <c r="E64" s="5" t="s">
        <v>7</v>
      </c>
      <c r="F64" s="5" t="s">
        <v>8</v>
      </c>
      <c r="G64" s="5"/>
    </row>
    <row r="65" spans="1:6" x14ac:dyDescent="0.25">
      <c r="A65" t="s">
        <v>53</v>
      </c>
      <c r="B65" s="14"/>
      <c r="C65" s="14"/>
      <c r="D65" s="14"/>
      <c r="E65" s="15">
        <v>48.75</v>
      </c>
      <c r="F65" s="15">
        <v>49.2</v>
      </c>
    </row>
    <row r="66" spans="1:6" x14ac:dyDescent="0.25">
      <c r="A66" s="9" t="s">
        <v>54</v>
      </c>
      <c r="B66" s="10"/>
      <c r="C66" s="10"/>
      <c r="D66" s="10"/>
      <c r="E66" s="10"/>
      <c r="F66" s="10">
        <f>F65/E65-1</f>
        <v>0.009230769230769376</v>
      </c>
    </row>
    <row r="67" spans="1:6" x14ac:dyDescent="0.25">
      <c r="A67" t="s">
        <v>55</v>
      </c>
      <c r="B67" s="14"/>
      <c r="C67" s="14"/>
      <c r="D67" s="14"/>
      <c r="E67" s="15">
        <v>12.8</v>
      </c>
      <c r="F67" s="15">
        <v>14.8</v>
      </c>
    </row>
    <row r="68" spans="1:6" x14ac:dyDescent="0.25">
      <c r="A68" s="9" t="s">
        <v>54</v>
      </c>
      <c r="B68" s="10"/>
      <c r="C68" s="10"/>
      <c r="D68" s="10"/>
      <c r="E68" s="10"/>
      <c r="F68" s="10">
        <f>F67/E67-1</f>
        <v>0.15625</v>
      </c>
    </row>
    <row r="70" spans="1:7" x14ac:dyDescent="0.25">
      <c r="A70" s="4" t="s">
        <v>56</v>
      </c>
      <c r="B70" s="4"/>
      <c r="C70" s="4"/>
      <c r="D70" s="4"/>
      <c r="E70" s="4"/>
      <c r="F70" s="4"/>
      <c r="G70" s="4"/>
    </row>
    <row r="71" ht="34.508627156789196" customHeight="1" spans="1:7" x14ac:dyDescent="0.25">
      <c r="A71" s="16" t="s">
        <v>57</v>
      </c>
      <c r="B71" s="16"/>
      <c r="C71" s="16"/>
      <c r="D71" s="16"/>
      <c r="E71" s="16"/>
      <c r="F71" s="16"/>
      <c r="G71" s="16"/>
    </row>
    <row r="72" ht="34.508627156789196" customHeight="1" spans="1:7" x14ac:dyDescent="0.25">
      <c r="A72" s="16" t="s">
        <v>58</v>
      </c>
      <c r="B72" s="16"/>
      <c r="C72" s="16"/>
      <c r="D72" s="16"/>
      <c r="E72" s="16"/>
      <c r="F72" s="16"/>
      <c r="G72" s="16"/>
    </row>
    <row r="73" ht="34.508627156789196" customHeight="1" spans="1:7" x14ac:dyDescent="0.25">
      <c r="A73" s="16" t="s">
        <v>59</v>
      </c>
      <c r="B73" s="16"/>
      <c r="C73" s="16"/>
      <c r="D73" s="16"/>
      <c r="E73" s="16"/>
      <c r="F73" s="16"/>
      <c r="G73" s="16"/>
    </row>
    <row r="74" ht="34.508627156789196" customHeight="1" spans="1:7" x14ac:dyDescent="0.25">
      <c r="A74" s="16" t="s">
        <v>60</v>
      </c>
      <c r="B74" s="16"/>
      <c r="C74" s="16"/>
      <c r="D74" s="16"/>
      <c r="E74" s="16"/>
      <c r="F74" s="16"/>
      <c r="G74" s="16"/>
    </row>
    <row r="75" ht="34.508627156789196" customHeight="1" spans="1:7" x14ac:dyDescent="0.25">
      <c r="A75" s="16" t="s">
        <v>61</v>
      </c>
      <c r="B75" s="16"/>
      <c r="C75" s="16"/>
      <c r="D75" s="16"/>
      <c r="E75" s="16"/>
      <c r="F75" s="16"/>
      <c r="G75" s="16"/>
    </row>
    <row r="76" ht="34.508627156789196" customHeight="1" spans="1:7" x14ac:dyDescent="0.25">
      <c r="A76" s="16" t="s">
        <v>62</v>
      </c>
      <c r="B76" s="16"/>
      <c r="C76" s="16"/>
      <c r="D76" s="16"/>
      <c r="E76" s="16"/>
      <c r="F76" s="16"/>
      <c r="G76" s="16"/>
    </row>
  </sheetData>
  <mergeCells count="14">
    <mergeCell ref="A1:G1"/>
    <mergeCell ref="A2:G2"/>
    <mergeCell ref="A3:G3"/>
    <mergeCell ref="A5:G5"/>
    <mergeCell ref="A28:G28"/>
    <mergeCell ref="A50:G50"/>
    <mergeCell ref="A63:G63"/>
    <mergeCell ref="A70:G70"/>
    <mergeCell ref="A71:G71"/>
    <mergeCell ref="A72:G72"/>
    <mergeCell ref="A73:G73"/>
    <mergeCell ref="A74:G74"/>
    <mergeCell ref="A75:G75"/>
    <mergeCell ref="A76:G7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2026-08-18T00:16:14Z</dcterms:created>
  <dcterms:modified xsi:type="dcterms:W3CDTF">2026-08-18T00:16:14Z</dcterms:modified>
</cp:coreProperties>
</file>