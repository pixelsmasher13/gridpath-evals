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comments1.xml><?xml version="1.0" encoding="utf-8"?>
<comments xmlns="http://schemas.openxmlformats.org/spreadsheetml/2006/main">
  <authors>
    <author>Author</author>
  </authors>
  <commentList>
    <comment ref="I12" authorId="0">
      <text>
        <r>
          <t>CAGR not meaningful: Operating Income (EBIT) flips sign from -€1,437m (FY22) to +€93.7m (FY25), so a compound growth rate is undefined. See YoY Δ columns (F:H) instead, which show the loss narrowing each year.</t>
        </r>
      </text>
    </comment>
  </commentList>
</comments>
</file>

<file path=xl/sharedStrings.xml><?xml version="1.0" encoding="utf-8"?>
<sst xmlns="http://schemas.openxmlformats.org/spreadsheetml/2006/main" count="76" uniqueCount="74">
  <si>
    <t>Delivery Hero SE — Consolidated Income Statement &amp; Growth Analysis</t>
  </si>
  <si>
    <t>€ in millions unless noted | FY ending Dec 31 | Historicals per company filings, aggregated via Yahoo Finance / stockanalysis.com (retrieved Aug 17, 2026)</t>
  </si>
  <si>
    <t>I. Consolidated Income Statement (IFRS, € millions)</t>
  </si>
  <si>
    <t>FY2022A</t>
  </si>
  <si>
    <t>FY2023A</t>
  </si>
  <si>
    <t>FY2024A</t>
  </si>
  <si>
    <t>FY2025A</t>
  </si>
  <si>
    <t>YoY Δ FY23</t>
  </si>
  <si>
    <t>YoY Δ FY24</t>
  </si>
  <si>
    <t>YoY Δ FY25</t>
  </si>
  <si>
    <t>CAGR '22–'25</t>
  </si>
  <si>
    <t>Revenue</t>
  </si>
  <si>
    <t>Cost of Revenue (derived)</t>
  </si>
  <si>
    <t>Gross Profit</t>
  </si>
  <si>
    <t>Gross Margin %</t>
  </si>
  <si>
    <t>Operating Expenses (SG&amp;A, Marketing, G&amp;A, D&amp;A — derived)</t>
  </si>
  <si>
    <t>Operating Income (EBIT, as reported)</t>
  </si>
  <si>
    <t>n/m</t>
  </si>
  <si>
    <t>Operating Margin %</t>
  </si>
  <si>
    <t>Net Financial Result &amp; Other Non-Operating Items (derived)</t>
  </si>
  <si>
    <t>Income Before Tax (Pretax Income)</t>
  </si>
  <si>
    <t>Pretax Margin %</t>
  </si>
  <si>
    <t>Income Tax Expense</t>
  </si>
  <si>
    <t>Effective Tax Rate % (memo; tax expense recognized despite pretax loss)</t>
  </si>
  <si>
    <t>Net Income Before NCI</t>
  </si>
  <si>
    <t>Non-Controlling Interests / Other Reconciling Items (derived)</t>
  </si>
  <si>
    <t>Net Income (attributable to Delivery Hero SE shareholders)</t>
  </si>
  <si>
    <t>Net Margin %</t>
  </si>
  <si>
    <t>Diluted Weighted-Avg Shares Outstanding (mm)</t>
  </si>
  <si>
    <t>Diluted EPS (€)</t>
  </si>
  <si>
    <t>Check: EPS (computed = NI / Shares) less EPS (reported) — should be ≈0</t>
  </si>
  <si>
    <t>II. Non-IFRS KPIs — Company-Reported Growth Metrics (€ millions unless noted)</t>
  </si>
  <si>
    <t>YoY Δ FY25 (reported)</t>
  </si>
  <si>
    <t>LFL YoY Δ (as reported by co.)</t>
  </si>
  <si>
    <t>Notes</t>
  </si>
  <si>
    <t>Gross Merchandise Value (GMV)</t>
  </si>
  <si>
    <t>Reported-currency growth +0.9%; company-reported LFL/constant-currency growth +9% YoY</t>
  </si>
  <si>
    <t>Total Segment Revenue</t>
  </si>
  <si>
    <t>Non-IFRS pre-consolidation KPI; LFL, ex-hyperinflation growth +23.1% YoY (+22.5% ex-hyperinflation only)</t>
  </si>
  <si>
    <t>Adjusted EBITDA</t>
  </si>
  <si>
    <t>FY2025 reported as "above €900m"; bottom end of €900–940m guidance range; ~+30% YoY</t>
  </si>
  <si>
    <t>Adjusted EBITDA Margin (% of GMV)</t>
  </si>
  <si>
    <t>Quick Commerce GMV</t>
  </si>
  <si>
    <t>FY2025 &gt;€7.5bn, +30% YoY; FY2026E guidance: approaching €10bn</t>
  </si>
  <si>
    <t>Free Cash Flow (before extraordinary items)</t>
  </si>
  <si>
    <t>FY2025 &gt;€200m (vs. guidance of &gt;€120m); FY2024 was first year of positive FCF (exact figure not in sources reviewed)</t>
  </si>
  <si>
    <t>III. Q4 2025 Regional Growth Highlights (YoY, as reported by company)</t>
  </si>
  <si>
    <t>Metric</t>
  </si>
  <si>
    <t>Q4'25 vs Q4'24 Growth</t>
  </si>
  <si>
    <t>Note</t>
  </si>
  <si>
    <t>Group — GMV (LFL)</t>
  </si>
  <si>
    <t>€12.4bn in Q4'25 vs €12.82bn in Q4'24 (reported-currency GMV -3.3%; figure shown is LFL/constant-currency)</t>
  </si>
  <si>
    <t>Group — Total Segment Revenue (LFL)</t>
  </si>
  <si>
    <t>€3.9bn in Q4'25 vs €3.52bn in Q4'24</t>
  </si>
  <si>
    <t>Europe — Revenue (LFL)</t>
  </si>
  <si>
    <t>Strongest regional growth in Q4; GMV growth expected to re-accelerate in H2 2026</t>
  </si>
  <si>
    <t>Asia — GMV (LFL)</t>
  </si>
  <si>
    <t>Return to growth; South Korea order volumes rising again since May 2025</t>
  </si>
  <si>
    <t>MENA — GMV (reported currency)</t>
  </si>
  <si>
    <t>Growth slowed sharply in Q4; came in below consensus (RBC Capital Markets)</t>
  </si>
  <si>
    <t>IV. FY2026 Outlook (Company Guidance, issued Feb 27, 2026)</t>
  </si>
  <si>
    <t>Adjusted EBITDA guidance (FY2026)</t>
  </si>
  <si>
    <t>€910m – €960m</t>
  </si>
  <si>
    <t>Free Cash Flow guidance (FY2026)</t>
  </si>
  <si>
    <t>&gt;€200m</t>
  </si>
  <si>
    <t>Quick Commerce GMV guidance (FY2026)</t>
  </si>
  <si>
    <t>Approaching €10bn (vs &gt;€7.5bn in FY2025)</t>
  </si>
  <si>
    <t>Other</t>
  </si>
  <si>
    <t>New financial disclosure framework aligning internal management reporting with external IFRS metrics begins with FY2026 reporting; pending sale of foodpanda Taiwan to Grab for $600m (subject to regulatory approval).</t>
  </si>
  <si>
    <t>V. Sources &amp; Methodology</t>
  </si>
  <si>
    <t>IFRS income statement anchors (Gross Profit, Operating Income margin, Pretax Income, Tax Expense, Net Income, EPS, Diluted Shares — shown in blue) sourced from company filings as aggregated by Yahoo Finance and stockanalysis.com (retrieved Aug 17, 2026); figures carry source precision of ~€0.1-10m.</t>
  </si>
  <si>
    <t>Cost of Revenue, Operating Expenses, Net Financial Result &amp; Other, and NCI/Other Reconciling Items (shown in black) are DERIVED plug lines computed to tie exactly to the sourced anchors above — see cell formulas.</t>
  </si>
  <si>
    <t>Non-IFRS KPIs (GMV, Total Segment Revenue, Adjusted EBITDA, Quick Commerce GMV, Free Cash Flow) sourced from Delivery Hero's FY2025 trading update (Feb 27, 2026) and H1 2025 results (Aug 28, 2025). LFL = like-for-like, constant currency, excluding hyperinflation accounting &amp; divested operations.</t>
  </si>
  <si>
    <t>Note: reported IFRS Revenue growth (row 6) differs materially from company-emphasized "Total Segment Revenue" LFL growth (row 34) — different bases. Segment revenue is a pre-consolidation, non-IFRS management KPI; reported IFRS revenue also reflects FX and portfolio changes (e.g. pending foodpanda Taiwan divestiture).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</si>
</sst>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0.0);-"/>
    <numFmt numFmtId="165" formatCode="0.0%;(0.0%)"/>
    <numFmt numFmtId="166" formatCode="€#,##0.00;(€#,##0.00)"/>
    <numFmt numFmtId="167" formatCode="0.000;(0.000)"/>
    <numFmt numFmtId="168" formatCode="0.0%"/>
    <numFmt numFmtId="169" formatCode="#,##0.0"/>
  </numFmts>
  <fonts count="7" x14ac:knownFonts="1">
    <font>
      <color theme="1"/>
      <family val="2"/>
      <scheme val="minor"/>
      <sz val="11"/>
      <name val="Calibri"/>
    </font>
    <font>
      <b/>
      <color rgb="FF1F4E79"/>
      <sz val="15"/>
    </font>
    <font>
      <i/>
      <color rgb="FF666666"/>
      <sz val="9"/>
    </font>
    <font>
      <b/>
      <color rgb="FFFFFFFF"/>
    </font>
    <font>
      <b/>
    </font>
    <font>
      <color rgb="FF0000FF"/>
    </font>
    <font>
      <i/>
      <color rgb="FF444444"/>
      <sz val="9"/>
    </font>
  </fonts>
  <fills count="4">
    <fill>
      <patternFill patternType="none"/>
    </fill>
    <fill>
      <patternFill patternType="gray125"/>
    </fill>
    <fill>
      <patternFill patternType="solid">
        <fgColor rgb="FF1F4E79"/>
      </patternFill>
    </fill>
    <fill>
      <patternFill patternType="solid">
        <fgColor rgb="FFD9E2F3"/>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2" borderId="0" xfId="0" applyFont="1" applyFill="1"/>
    <xf numFmtId="0" fontId="4" fillId="3" borderId="0" xfId="0" applyFont="1" applyFill="1"/>
    <xf numFmtId="0" fontId="4" fillId="0" borderId="0" xfId="0" applyFont="1"/>
    <xf numFmtId="164" fontId="5" fillId="0" borderId="0" xfId="0" applyNumberFormat="1" applyFont="1"/>
    <xf numFmtId="165" fontId="0" fillId="0" borderId="0" xfId="0" applyNumberFormat="1"/>
    <xf numFmtId="164" fontId="0" fillId="0" borderId="0" xfId="0" applyNumberFormat="1"/>
    <xf numFmtId="4" fontId="5" fillId="0" borderId="0" xfId="0" applyNumberFormat="1" applyFont="1"/>
    <xf numFmtId="166" fontId="5" fillId="0" borderId="0" xfId="0" applyNumberFormat="1" applyFont="1"/>
    <xf numFmtId="167" fontId="0" fillId="0" borderId="0" xfId="0" applyNumberFormat="1"/>
    <xf numFmtId="168" fontId="0" fillId="0" borderId="0" xfId="0" applyNumberFormat="1"/>
    <xf numFmtId="168" fontId="5" fillId="0" borderId="0" xfId="0" applyNumberFormat="1" applyFont="1"/>
    <xf numFmtId="0" fontId="6" fillId="0" borderId="0" xfId="0" applyFont="1" applyAlignment="1">
      <alignment vertical="top" wrapText="1"/>
    </xf>
    <xf numFmtId="10" fontId="0" fillId="0" borderId="0" xfId="0" applyNumberFormat="1"/>
    <xf numFmtId="169" fontId="5" fillId="0" borderId="0" xfId="0" applyNumberFormat="1" applyFont="1"/>
    <xf numFmtId="165" fontId="5" fillId="0" borderId="0" xfId="0" applyNumberFormat="1"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9"/>
  <sheetViews>
    <sheetView workbookViewId="0">
      <pane xSplit="1" ySplit="5" topLeftCell="B6" activePane="bottomRight" state="frozen"/>
      <selection pane="bottomRight"/>
    </sheetView>
  </sheetViews>
  <sheetFormatPr defaultRowHeight="15" outlineLevelRow="0" outlineLevelCol="0" x14ac:dyDescent="55"/>
  <cols>
    <col min="1" max="1" width="53.57142857142857" customWidth="1"/>
    <col min="2" max="9" width="12.857142857142858" customWidth="1"/>
    <col min="10" max="10" width="45" customWidth="1"/>
  </cols>
  <sheetData>
    <row r="1" ht="19.504876219054765" customHeight="1" spans="1:10" x14ac:dyDescent="0.25">
      <c r="A1" s="1" t="s">
        <v>0</v>
      </c>
      <c r="B1" s="1"/>
      <c r="C1" s="1"/>
      <c r="D1" s="1"/>
      <c r="E1" s="1"/>
      <c r="F1" s="1"/>
      <c r="G1" s="1"/>
      <c r="H1" s="1"/>
      <c r="I1" s="1"/>
      <c r="J1" s="1"/>
    </row>
    <row r="2" ht="13.50337584396099" customHeight="1" spans="1:10" x14ac:dyDescent="0.25">
      <c r="A2" s="2" t="s">
        <v>1</v>
      </c>
      <c r="B2" s="2"/>
      <c r="C2" s="2"/>
      <c r="D2" s="2"/>
      <c r="E2" s="2"/>
      <c r="F2" s="2"/>
      <c r="G2" s="2"/>
      <c r="H2" s="2"/>
      <c r="I2" s="2"/>
      <c r="J2" s="2"/>
    </row>
    <row r="4" spans="1:10" x14ac:dyDescent="0.25">
      <c r="A4" s="3" t="s">
        <v>2</v>
      </c>
      <c r="B4" s="3"/>
      <c r="C4" s="3"/>
      <c r="D4" s="3"/>
      <c r="E4" s="3"/>
      <c r="F4" s="3"/>
      <c r="G4" s="3"/>
      <c r="H4" s="3"/>
      <c r="I4" s="3"/>
      <c r="J4" s="3"/>
    </row>
    <row r="5" spans="1:9" x14ac:dyDescent="0.25">
      <c r="A5" s="4"/>
      <c r="B5" s="4" t="s">
        <v>3</v>
      </c>
      <c r="C5" s="4" t="s">
        <v>4</v>
      </c>
      <c r="D5" s="4" t="s">
        <v>5</v>
      </c>
      <c r="E5" s="4" t="s">
        <v>6</v>
      </c>
      <c r="F5" s="4" t="s">
        <v>7</v>
      </c>
      <c r="G5" s="4" t="s">
        <v>8</v>
      </c>
      <c r="H5" s="4" t="s">
        <v>9</v>
      </c>
      <c r="I5" s="4" t="s">
        <v>10</v>
      </c>
    </row>
    <row r="6" spans="1:9" x14ac:dyDescent="0.25">
      <c r="A6" s="5" t="s">
        <v>11</v>
      </c>
      <c r="B6" s="6">
        <v>8580</v>
      </c>
      <c r="C6" s="6">
        <v>9940</v>
      </c>
      <c r="D6" s="6">
        <v>12290</v>
      </c>
      <c r="E6" s="6">
        <v>14060</v>
      </c>
      <c r="F6" s="7">
        <f>C6/B6-1</f>
        <v>0.15850815850815847</v>
      </c>
      <c r="G6" s="7">
        <f>D6/C6-1</f>
        <v>0.23641851106639833</v>
      </c>
      <c r="H6" s="7">
        <f>E6/D6-1</f>
        <v>0.144019528071603</v>
      </c>
      <c r="I6" s="7">
        <f>(E6/B6)^(1/3)-1</f>
        <v>0.17896074318283572</v>
      </c>
    </row>
    <row r="7" spans="1:9" x14ac:dyDescent="0.25">
      <c r="A7" s="5" t="s">
        <v>12</v>
      </c>
      <c r="B7" s="8">
        <f>B8-B6</f>
        <v>-6350</v>
      </c>
      <c r="C7" s="8">
        <f>C8-C6</f>
        <v>-6970</v>
      </c>
      <c r="D7" s="8">
        <f>D8-D6</f>
        <v>-8960</v>
      </c>
      <c r="E7" s="8">
        <f>E8-E6</f>
        <v>-10630</v>
      </c>
      <c r="F7" s="7">
        <f>C7/B7-1</f>
        <v>0.09763779527559047</v>
      </c>
      <c r="G7" s="7">
        <f>D7/C7-1</f>
        <v>0.285509325681492</v>
      </c>
      <c r="H7" s="7">
        <f>E7/D7-1</f>
        <v>0.1863839285714286</v>
      </c>
      <c r="I7" s="7">
        <f>(E7/B7)^(1/3)-1</f>
        <v>0.18737120624977743</v>
      </c>
    </row>
    <row r="8" spans="1:9" x14ac:dyDescent="0.25">
      <c r="A8" s="5" t="s">
        <v>13</v>
      </c>
      <c r="B8" s="6">
        <v>2230</v>
      </c>
      <c r="C8" s="6">
        <v>2970</v>
      </c>
      <c r="D8" s="6">
        <v>3330</v>
      </c>
      <c r="E8" s="6">
        <v>3430</v>
      </c>
      <c r="F8" s="7">
        <f>C8/B8-1</f>
        <v>0.3318385650224216</v>
      </c>
      <c r="G8" s="7">
        <f>D8/C8-1</f>
        <v>0.1212121212121211</v>
      </c>
      <c r="H8" s="7">
        <f>E8/D8-1</f>
        <v>0.03003003003003002</v>
      </c>
      <c r="I8" s="7">
        <f>(E8/B8)^(1/3)-1</f>
        <v>0.15432938761684478</v>
      </c>
    </row>
    <row r="9" spans="1:9" x14ac:dyDescent="0.25">
      <c r="A9" t="s">
        <v>14</v>
      </c>
      <c r="B9" s="7">
        <f>B8/B6</f>
        <v>0.25990675990675993</v>
      </c>
      <c r="C9" s="7">
        <f>C8/C6</f>
        <v>0.2987927565392354</v>
      </c>
      <c r="D9" s="7">
        <f>D8/D6</f>
        <v>0.2709519934906428</v>
      </c>
      <c r="E9" s="7">
        <f>E8/E6</f>
        <v>0.24395448079658605</v>
      </c>
      <c r="F9" s="7"/>
      <c r="G9" s="7"/>
      <c r="H9" s="7"/>
      <c r="I9" s="7"/>
    </row>
    <row r="10" spans="1:9" x14ac:dyDescent="0.25">
      <c r="F10" s="7"/>
      <c r="G10" s="7"/>
      <c r="H10" s="7"/>
      <c r="I10" s="7"/>
    </row>
    <row r="11" spans="1:9" x14ac:dyDescent="0.25">
      <c r="A11" t="s">
        <v>15</v>
      </c>
      <c r="B11" s="8">
        <f>B12-B8</f>
        <v>-3667</v>
      </c>
      <c r="C11" s="8">
        <f>C12-C8</f>
        <v>-3677.4</v>
      </c>
      <c r="D11" s="8">
        <f>D12-D8</f>
        <v>-3591.2</v>
      </c>
      <c r="E11" s="8">
        <f>E12-E8</f>
        <v>-3336.3</v>
      </c>
      <c r="F11" s="7">
        <f>C11/B11-1</f>
        <v>0.002836105808562861</v>
      </c>
      <c r="G11" s="7">
        <f>D11/C11-1</f>
        <v>-0.023440474248110132</v>
      </c>
      <c r="H11" s="7">
        <f>E11/D11-1</f>
        <v>-0.07097905992425924</v>
      </c>
      <c r="I11" s="7">
        <f>(E11/B11)^(1/3)-1</f>
        <v>-0.03101275173138629</v>
      </c>
    </row>
    <row r="12" spans="1:9" x14ac:dyDescent="0.25">
      <c r="A12" s="5" t="s">
        <v>16</v>
      </c>
      <c r="B12" s="6">
        <v>-1437</v>
      </c>
      <c r="C12" s="6">
        <v>-707.4</v>
      </c>
      <c r="D12" s="6">
        <v>-261.2</v>
      </c>
      <c r="E12" s="6">
        <v>93.7</v>
      </c>
      <c r="F12" s="7">
        <f>C12/B12-1</f>
        <v>-0.5077244258872651</v>
      </c>
      <c r="G12" s="7">
        <f>D12/C12-1</f>
        <v>-0.6307605315238903</v>
      </c>
      <c r="H12" s="7">
        <f>E12/D12-1</f>
        <v>-1.358728943338438</v>
      </c>
      <c r="I12" s="7" t="s">
        <v>17</v>
      </c>
    </row>
    <row r="13" spans="1:9" x14ac:dyDescent="0.25">
      <c r="A13" t="s">
        <v>18</v>
      </c>
      <c r="B13" s="7">
        <f>B12/B6</f>
        <v>-0.1674825174825175</v>
      </c>
      <c r="C13" s="7">
        <f>C12/C6</f>
        <v>-0.07116700201207243</v>
      </c>
      <c r="D13" s="7">
        <f>D12/D6</f>
        <v>-0.021253051261187955</v>
      </c>
      <c r="E13" s="7">
        <f>E12/E6</f>
        <v>0.006664295874822191</v>
      </c>
      <c r="F13" s="7"/>
      <c r="G13" s="7"/>
      <c r="H13" s="7"/>
      <c r="I13" s="7"/>
    </row>
    <row r="14" spans="1:9" x14ac:dyDescent="0.25">
      <c r="F14" s="7"/>
      <c r="G14" s="7"/>
      <c r="H14" s="7"/>
      <c r="I14" s="7"/>
    </row>
    <row r="15" spans="1:9" x14ac:dyDescent="0.25">
      <c r="A15" t="s">
        <v>19</v>
      </c>
      <c r="B15" s="8">
        <f>B16-B12</f>
        <v>-1413</v>
      </c>
      <c r="C15" s="8">
        <f>C16-C12</f>
        <v>-1452.6</v>
      </c>
      <c r="D15" s="8">
        <f>D16-D12</f>
        <v>-281.2</v>
      </c>
      <c r="E15" s="8">
        <f>E16-E12</f>
        <v>-561.3000000000001</v>
      </c>
      <c r="F15" s="7"/>
      <c r="G15" s="7"/>
      <c r="H15" s="7"/>
      <c r="I15" s="7"/>
    </row>
    <row r="16" spans="1:9" x14ac:dyDescent="0.25">
      <c r="A16" s="5" t="s">
        <v>20</v>
      </c>
      <c r="B16" s="6">
        <v>-2850</v>
      </c>
      <c r="C16" s="6">
        <v>-2160</v>
      </c>
      <c r="D16" s="6">
        <v>-542.4</v>
      </c>
      <c r="E16" s="6">
        <v>-467.6</v>
      </c>
      <c r="F16" s="7">
        <f>C16/B16-1</f>
        <v>-0.2421052631578947</v>
      </c>
      <c r="G16" s="7">
        <f>D16/C16-1</f>
        <v>-0.7488888888888889</v>
      </c>
      <c r="H16" s="7">
        <f>E16/D16-1</f>
        <v>-0.13790560471976399</v>
      </c>
      <c r="I16" s="7">
        <f>(E16/B16)^(1/3)-1</f>
        <v>-0.4525515705727954</v>
      </c>
    </row>
    <row r="17" spans="1:9" x14ac:dyDescent="0.25">
      <c r="A17" t="s">
        <v>21</v>
      </c>
      <c r="B17" s="7">
        <f>B16/B6</f>
        <v>-0.3321678321678322</v>
      </c>
      <c r="C17" s="7">
        <f>C16/C6</f>
        <v>-0.21730382293762576</v>
      </c>
      <c r="D17" s="7">
        <f>D16/D6</f>
        <v>-0.044133441822620016</v>
      </c>
      <c r="E17" s="7">
        <f>E16/E6</f>
        <v>-0.0332574679943101</v>
      </c>
      <c r="F17" s="7"/>
      <c r="G17" s="7"/>
      <c r="H17" s="7"/>
      <c r="I17" s="7"/>
    </row>
    <row r="18" spans="1:9" x14ac:dyDescent="0.25">
      <c r="F18" s="7"/>
      <c r="G18" s="7"/>
      <c r="H18" s="7"/>
      <c r="I18" s="7"/>
    </row>
    <row r="19" spans="1:9" x14ac:dyDescent="0.25">
      <c r="A19" t="s">
        <v>22</v>
      </c>
      <c r="B19" s="6">
        <v>-141.2</v>
      </c>
      <c r="C19" s="6">
        <v>-142.1</v>
      </c>
      <c r="D19" s="6">
        <v>-339.3</v>
      </c>
      <c r="E19" s="6">
        <v>-230.7</v>
      </c>
      <c r="F19" s="7">
        <f>C19/B19-1</f>
        <v>0.006373937677053965</v>
      </c>
      <c r="G19" s="7">
        <f>D19/C19-1</f>
        <v>1.3877551020408165</v>
      </c>
      <c r="H19" s="7">
        <f>E19/D19-1</f>
        <v>-0.32007073386383733</v>
      </c>
      <c r="I19" s="7">
        <f>(E19/B19)^(1/3)-1</f>
        <v>0.1777984160703283</v>
      </c>
    </row>
    <row r="20" spans="1:9" x14ac:dyDescent="0.25">
      <c r="A20" t="s">
        <v>23</v>
      </c>
      <c r="B20" s="7">
        <f>B19/B16</f>
        <v>0.0495438596491228</v>
      </c>
      <c r="C20" s="7">
        <f>C19/C16</f>
        <v>0.06578703703703703</v>
      </c>
      <c r="D20" s="7">
        <f>D19/D16</f>
        <v>0.6255530973451328</v>
      </c>
      <c r="E20" s="7">
        <f>E19/E16</f>
        <v>0.4933704020530367</v>
      </c>
      <c r="F20" s="7"/>
      <c r="G20" s="7"/>
      <c r="H20" s="7"/>
      <c r="I20" s="7"/>
    </row>
    <row r="21" spans="1:9" x14ac:dyDescent="0.25">
      <c r="A21" s="5" t="s">
        <v>24</v>
      </c>
      <c r="B21" s="8">
        <f>B16+B19</f>
        <v>-2991.2</v>
      </c>
      <c r="C21" s="8">
        <f>C16+C19</f>
        <v>-2302.1</v>
      </c>
      <c r="D21" s="8">
        <f>D16+D19</f>
        <v>-881.7</v>
      </c>
      <c r="E21" s="8">
        <f>E16+E19</f>
        <v>-698.3</v>
      </c>
      <c r="F21" s="7">
        <f>C21/B21-1</f>
        <v>-0.2303757689221717</v>
      </c>
      <c r="G21" s="7">
        <f>D21/C21-1</f>
        <v>-0.6170018678597802</v>
      </c>
      <c r="H21" s="7">
        <f>E21/D21-1</f>
        <v>-0.208007258704775</v>
      </c>
      <c r="I21" s="7">
        <f>(E21/B21)^(1/3)-1</f>
        <v>-0.38425787905917763</v>
      </c>
    </row>
    <row r="22" spans="1:9" x14ac:dyDescent="0.25">
      <c r="A22" t="s">
        <v>25</v>
      </c>
      <c r="B22" s="8">
        <f>B23-B21</f>
        <v>-17.90000000000009</v>
      </c>
      <c r="C22" s="8">
        <f>C23-C21</f>
        <v>3.5</v>
      </c>
      <c r="D22" s="8">
        <f>D23-D21</f>
        <v>-0.6999999999999318</v>
      </c>
      <c r="E22" s="8">
        <f>E23-E21</f>
        <v>-84.60000000000002</v>
      </c>
      <c r="F22" s="7"/>
      <c r="G22" s="7"/>
      <c r="H22" s="7"/>
      <c r="I22" s="7"/>
    </row>
    <row r="23" spans="1:9" x14ac:dyDescent="0.25">
      <c r="A23" s="5" t="s">
        <v>26</v>
      </c>
      <c r="B23" s="6">
        <v>-3009.1</v>
      </c>
      <c r="C23" s="6">
        <v>-2298.6</v>
      </c>
      <c r="D23" s="6">
        <v>-882.4</v>
      </c>
      <c r="E23" s="6">
        <v>-782.9</v>
      </c>
      <c r="F23" s="7">
        <f>C23/B23-1</f>
        <v>-0.23611711142866643</v>
      </c>
      <c r="G23" s="7">
        <f>D23/C23-1</f>
        <v>-0.6161141564430523</v>
      </c>
      <c r="H23" s="7">
        <f>E23/D23-1</f>
        <v>-0.11276065276518588</v>
      </c>
      <c r="I23" s="7">
        <f>(E23/B23)^(1/3)-1</f>
        <v>-0.3616043915931363</v>
      </c>
    </row>
    <row r="24" spans="1:9" x14ac:dyDescent="0.25">
      <c r="A24" t="s">
        <v>27</v>
      </c>
      <c r="B24" s="7">
        <f>B23/B6</f>
        <v>-0.3507109557109557</v>
      </c>
      <c r="C24" s="7">
        <f>C23/C6</f>
        <v>-0.23124748490945674</v>
      </c>
      <c r="D24" s="7">
        <f>D23/D6</f>
        <v>-0.07179820992676973</v>
      </c>
      <c r="E24" s="7">
        <f>E23/E6</f>
        <v>-0.0556827880512091</v>
      </c>
      <c r="F24" s="7"/>
      <c r="G24" s="7"/>
      <c r="H24" s="7"/>
      <c r="I24" s="7"/>
    </row>
    <row r="25" spans="1:9" x14ac:dyDescent="0.25">
      <c r="F25" s="7"/>
      <c r="G25" s="7"/>
      <c r="H25" s="7"/>
      <c r="I25" s="7"/>
    </row>
    <row r="26" spans="1:9" x14ac:dyDescent="0.25">
      <c r="A26" t="s">
        <v>28</v>
      </c>
      <c r="B26" s="9">
        <v>266.77</v>
      </c>
      <c r="C26" s="9">
        <v>268.21</v>
      </c>
      <c r="D26" s="9">
        <v>284.25</v>
      </c>
      <c r="E26" s="9">
        <v>298.65</v>
      </c>
      <c r="F26" s="7">
        <f>C26/B26-1</f>
        <v>0.005397908310529553</v>
      </c>
      <c r="G26" s="7">
        <f>D26/C26-1</f>
        <v>0.05980388501547296</v>
      </c>
      <c r="H26" s="7">
        <f>E26/D26-1</f>
        <v>0.05065963060686007</v>
      </c>
      <c r="I26" s="7">
        <f>(E26/B26)^(1/3)-1</f>
        <v>0.03834540040235401</v>
      </c>
    </row>
    <row r="27" spans="1:9" x14ac:dyDescent="0.25">
      <c r="A27" t="s">
        <v>29</v>
      </c>
      <c r="B27" s="10">
        <v>-11.28</v>
      </c>
      <c r="C27" s="10">
        <v>-8.57</v>
      </c>
      <c r="D27" s="10">
        <v>-3.1</v>
      </c>
      <c r="E27" s="10">
        <v>-2.62</v>
      </c>
      <c r="F27" s="7"/>
      <c r="G27" s="7"/>
      <c r="H27" s="7"/>
      <c r="I27" s="7"/>
    </row>
    <row r="29" spans="1:5" x14ac:dyDescent="0.25">
      <c r="A29" t="s">
        <v>30</v>
      </c>
      <c r="B29" s="11">
        <f>(B23/B26)-B27</f>
        <v>0.000245904711922762</v>
      </c>
      <c r="C29" s="11">
        <f>(C23/C26)-C27</f>
        <v>-0.00015025539689084155</v>
      </c>
      <c r="D29" s="11">
        <f>(D23/D26)-D27</f>
        <v>-0.004309586631486173</v>
      </c>
      <c r="E29" s="11">
        <f>(E23/E26)-E27</f>
        <v>-0.0014632512975052414</v>
      </c>
    </row>
    <row r="31" spans="1:10" x14ac:dyDescent="0.25">
      <c r="A31" s="3" t="s">
        <v>31</v>
      </c>
      <c r="B31" s="3"/>
      <c r="C31" s="3"/>
      <c r="D31" s="3"/>
      <c r="E31" s="3"/>
      <c r="F31" s="3"/>
      <c r="G31" s="3"/>
      <c r="H31" s="3"/>
      <c r="I31" s="3"/>
      <c r="J31" s="3"/>
    </row>
    <row r="32" spans="1:10" x14ac:dyDescent="0.25">
      <c r="A32" s="4"/>
      <c r="B32" s="4"/>
      <c r="C32" s="4"/>
      <c r="D32" s="4" t="s">
        <v>5</v>
      </c>
      <c r="E32" s="4" t="s">
        <v>6</v>
      </c>
      <c r="F32" s="4"/>
      <c r="G32" s="4"/>
      <c r="H32" s="4" t="s">
        <v>32</v>
      </c>
      <c r="I32" s="4" t="s">
        <v>33</v>
      </c>
      <c r="J32" s="4" t="s">
        <v>34</v>
      </c>
    </row>
    <row r="33" spans="1:10" x14ac:dyDescent="0.25">
      <c r="A33" t="s">
        <v>35</v>
      </c>
      <c r="D33" s="6">
        <v>48750</v>
      </c>
      <c r="E33" s="6">
        <v>49200</v>
      </c>
      <c r="H33" s="12">
        <f>E33/D33-1</f>
        <v>0.009230769230769154</v>
      </c>
      <c r="I33" s="13">
        <v>0.09</v>
      </c>
      <c r="J33" s="14" t="s">
        <v>36</v>
      </c>
    </row>
    <row r="34" spans="1:10" x14ac:dyDescent="0.25">
      <c r="A34" t="s">
        <v>37</v>
      </c>
      <c r="D34" s="6">
        <v>12800</v>
      </c>
      <c r="E34" s="6">
        <v>14800</v>
      </c>
      <c r="H34" s="12">
        <f>E34/D34-1</f>
        <v>0.15625</v>
      </c>
      <c r="I34" s="13">
        <v>0.231</v>
      </c>
      <c r="J34" s="14" t="s">
        <v>38</v>
      </c>
    </row>
    <row r="35" spans="1:10" x14ac:dyDescent="0.25">
      <c r="A35" t="s">
        <v>39</v>
      </c>
      <c r="D35" s="6">
        <v>692.5</v>
      </c>
      <c r="E35" s="6">
        <v>900</v>
      </c>
      <c r="H35" s="12">
        <f>E35/D35-1</f>
        <v>0.29963898916967513</v>
      </c>
      <c r="J35" s="14" t="s">
        <v>40</v>
      </c>
    </row>
    <row r="36" spans="1:10" x14ac:dyDescent="0.25">
      <c r="A36" t="s">
        <v>41</v>
      </c>
      <c r="D36" s="15">
        <f>D35/D33</f>
        <v>0.014205128205128205</v>
      </c>
      <c r="E36" s="15">
        <f>E35/E33</f>
        <v>0.018292682926829267</v>
      </c>
      <c r="J36" s="14"/>
    </row>
    <row r="37" spans="1:10" x14ac:dyDescent="0.25">
      <c r="J37" s="14"/>
    </row>
    <row r="38" spans="1:10" x14ac:dyDescent="0.25">
      <c r="A38" t="s">
        <v>42</v>
      </c>
      <c r="E38" s="16">
        <v>7500</v>
      </c>
      <c r="J38" s="14" t="s">
        <v>43</v>
      </c>
    </row>
    <row r="39" spans="1:10" x14ac:dyDescent="0.25">
      <c r="A39" t="s">
        <v>44</v>
      </c>
      <c r="E39" s="16">
        <v>200</v>
      </c>
      <c r="J39" s="14" t="s">
        <v>45</v>
      </c>
    </row>
    <row r="41" spans="1:10" x14ac:dyDescent="0.25">
      <c r="A41" s="3" t="s">
        <v>46</v>
      </c>
      <c r="B41" s="3"/>
      <c r="C41" s="3"/>
      <c r="D41" s="3"/>
      <c r="E41" s="3"/>
      <c r="F41" s="3"/>
      <c r="G41" s="3"/>
      <c r="H41" s="3"/>
      <c r="I41" s="3"/>
      <c r="J41" s="3"/>
    </row>
    <row r="42" spans="1:3" x14ac:dyDescent="0.25">
      <c r="A42" s="4" t="s">
        <v>47</v>
      </c>
      <c r="B42" s="4" t="s">
        <v>48</v>
      </c>
      <c r="C42" s="4" t="s">
        <v>49</v>
      </c>
    </row>
    <row r="43" ht="24.006001500375096" customHeight="1" spans="1:3" x14ac:dyDescent="0.25">
      <c r="A43" t="s">
        <v>50</v>
      </c>
      <c r="B43" s="17">
        <v>0.08</v>
      </c>
      <c r="C43" s="14" t="s">
        <v>51</v>
      </c>
    </row>
    <row r="44" ht="24.006001500375096" customHeight="1" spans="1:3" x14ac:dyDescent="0.25">
      <c r="A44" t="s">
        <v>52</v>
      </c>
      <c r="B44" s="17">
        <v>0.209</v>
      </c>
      <c r="C44" s="14" t="s">
        <v>53</v>
      </c>
    </row>
    <row r="45" ht="24.006001500375096" customHeight="1" spans="1:3" x14ac:dyDescent="0.25">
      <c r="A45" t="s">
        <v>54</v>
      </c>
      <c r="B45" s="17">
        <v>0.34</v>
      </c>
      <c r="C45" s="14" t="s">
        <v>55</v>
      </c>
    </row>
    <row r="46" ht="24.006001500375096" customHeight="1" spans="1:3" x14ac:dyDescent="0.25">
      <c r="A46" t="s">
        <v>56</v>
      </c>
      <c r="B46" s="17">
        <v>0.01</v>
      </c>
      <c r="C46" s="14" t="s">
        <v>57</v>
      </c>
    </row>
    <row r="47" ht="24.006001500375096" customHeight="1" spans="1:3" x14ac:dyDescent="0.25">
      <c r="A47" t="s">
        <v>58</v>
      </c>
      <c r="B47" s="17">
        <v>0.009</v>
      </c>
      <c r="C47" s="14" t="s">
        <v>59</v>
      </c>
    </row>
    <row r="49" spans="1:10" x14ac:dyDescent="0.25">
      <c r="A49" s="3" t="s">
        <v>60</v>
      </c>
      <c r="B49" s="3"/>
      <c r="C49" s="3"/>
      <c r="D49" s="3"/>
      <c r="E49" s="3"/>
      <c r="F49" s="3"/>
      <c r="G49" s="3"/>
      <c r="H49" s="3"/>
      <c r="I49" s="3"/>
      <c r="J49" s="3"/>
    </row>
    <row r="50" spans="1:2" x14ac:dyDescent="0.25">
      <c r="A50" t="s">
        <v>61</v>
      </c>
      <c r="B50" s="18" t="s">
        <v>62</v>
      </c>
    </row>
    <row r="51" spans="1:2" x14ac:dyDescent="0.25">
      <c r="A51" t="s">
        <v>63</v>
      </c>
      <c r="B51" s="18" t="s">
        <v>64</v>
      </c>
    </row>
    <row r="52" spans="1:2" x14ac:dyDescent="0.25">
      <c r="A52" t="s">
        <v>65</v>
      </c>
      <c r="B52" s="18" t="s">
        <v>66</v>
      </c>
    </row>
    <row r="53" spans="1:2" x14ac:dyDescent="0.25">
      <c r="A53" t="s">
        <v>67</v>
      </c>
      <c r="B53" s="18" t="s">
        <v>68</v>
      </c>
    </row>
    <row r="55" spans="1:10" x14ac:dyDescent="0.25">
      <c r="A55" s="3" t="s">
        <v>69</v>
      </c>
      <c r="B55" s="3"/>
      <c r="C55" s="3"/>
      <c r="D55" s="3"/>
      <c r="E55" s="3"/>
      <c r="F55" s="3"/>
      <c r="G55" s="3"/>
      <c r="H55" s="3"/>
      <c r="I55" s="3"/>
      <c r="J55" s="3"/>
    </row>
    <row r="56" ht="31.50787696924231" customHeight="1" spans="1:10" x14ac:dyDescent="0.25">
      <c r="A56" s="14" t="s">
        <v>70</v>
      </c>
      <c r="B56" s="14"/>
      <c r="C56" s="14"/>
      <c r="D56" s="14"/>
      <c r="E56" s="14"/>
      <c r="F56" s="14"/>
      <c r="G56" s="14"/>
      <c r="H56" s="14"/>
      <c r="I56" s="14"/>
      <c r="J56" s="14"/>
    </row>
    <row r="57" ht="31.50787696924231" customHeight="1" spans="1:10" x14ac:dyDescent="0.25">
      <c r="A57" s="14" t="s">
        <v>71</v>
      </c>
      <c r="B57" s="14"/>
      <c r="C57" s="14"/>
      <c r="D57" s="14"/>
      <c r="E57" s="14"/>
      <c r="F57" s="14"/>
      <c r="G57" s="14"/>
      <c r="H57" s="14"/>
      <c r="I57" s="14"/>
      <c r="J57" s="14"/>
    </row>
    <row r="58" ht="31.50787696924231" customHeight="1" spans="1:10" x14ac:dyDescent="0.25">
      <c r="A58" s="14" t="s">
        <v>72</v>
      </c>
      <c r="B58" s="14"/>
      <c r="C58" s="14"/>
      <c r="D58" s="14"/>
      <c r="E58" s="14"/>
      <c r="F58" s="14"/>
      <c r="G58" s="14"/>
      <c r="H58" s="14"/>
      <c r="I58" s="14"/>
      <c r="J58" s="14"/>
    </row>
    <row r="59" ht="31.50787696924231" customHeight="1" spans="1:10" x14ac:dyDescent="0.25">
      <c r="A59" s="14" t="s">
        <v>73</v>
      </c>
      <c r="B59" s="14"/>
      <c r="C59" s="14"/>
      <c r="D59" s="14"/>
      <c r="E59" s="14"/>
      <c r="F59" s="14"/>
      <c r="G59" s="14"/>
      <c r="H59" s="14"/>
      <c r="I59" s="14"/>
      <c r="J59" s="14"/>
    </row>
  </sheetData>
  <mergeCells count="11">
    <mergeCell ref="A1:J1"/>
    <mergeCell ref="A2:J2"/>
    <mergeCell ref="A4:J4"/>
    <mergeCell ref="A31:J31"/>
    <mergeCell ref="A41:J41"/>
    <mergeCell ref="A49:J49"/>
    <mergeCell ref="A55:J55"/>
    <mergeCell ref="A56:J56"/>
    <mergeCell ref="A57:J57"/>
    <mergeCell ref="A58:J58"/>
    <mergeCell ref="A59:J59"/>
  </mergeCells>
  <pageMargins left="0.7" right="0.7" top="0.75" bottom="0.75" header="0.3" footer="0.3"/>
  <pageSetup orientation="portrait" horizontalDpi="4294967295" verticalDpi="4294967295" scale="100" fitToWidth="1" fitToHeight="1" firstPageNumber="1" useFirstPageNumber="1" copies="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2026-08-18T00:33:35Z</dcterms:created>
  <dcterms:modified xsi:type="dcterms:W3CDTF">2026-08-18T00:33:35Z</dcterms:modified>
</cp:coreProperties>
</file>