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3.xml" ContentType="application/vnd.openxmlformats-officedocument.drawingml.chart+xml"/>
  <Override PartName="/xl/charts/colors2.xml" ContentType="application/vnd.ms-office.chartcolorstyle+xml"/>
  <Override PartName="/xl/charts/chart1.xml" ContentType="application/vnd.openxmlformats-officedocument.drawingml.chart+xml"/>
  <Override PartName="/xl/charts/style1.xml" ContentType="application/vnd.ms-office.chartstyle+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2"/>
  </bookViews>
  <sheets>
    <sheet name="README" sheetId="1" state="visible" r:id="rId3"/>
    <sheet name="Assumptions" sheetId="2" state="visible" r:id="rId4"/>
    <sheet name="Income Statement" sheetId="3" state="visible" r:id="rId5"/>
    <sheet name="Segment &amp; Growth"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<sst xmlns="http://schemas.openxmlformats.org/spreadsheetml/2006/main" count="168" uniqueCount="139">
  <si>
    <t xml:space="preserve">Delivery Hero SE — Income Statement &amp; Growth Model</t>
  </si>
  <si>
    <t xml:space="preserve">Purpose</t>
  </si>
  <si>
    <t xml:space="preserve">A three-statement-style operating model of Delivery Hero SE (XETR: DHER), covering the consolidated IFRS income statement, group and segment growth KPIs (GMV, Total Segment Revenue, Adjusted EBITDA), and a formula-driven FY2026E–FY2028E projection built off an editable Assumptions tab.</t>
  </si>
  <si>
    <t xml:space="preserve">How to use this workbook</t>
  </si>
  <si>
    <t xml:space="preserve">•  Blue text = hardcoded input (actual reported figure, or an editable forecast assumption).</t>
  </si>
  <si>
    <t xml:space="preserve">•  Black text = formula calculated from cells on the same sheet.</t>
  </si>
  <si>
    <t xml:space="preserve">•  Green text = formula that links to another sheet (e.g. Income Statement pulling from Assumptions).</t>
  </si>
  <si>
    <t xml:space="preserve">•  Yellow-shaded columns = forecast years (FY2026E–FY2028E); all editable drivers live on the 'Assumptions' tab — change them there and every downstream formula recalculates.</t>
  </si>
  <si>
    <t xml:space="preserve">Tabs</t>
  </si>
  <si>
    <t xml:space="preserve">•  Assumptions — editable forecast drivers (GMV growth, take rate, margins, tax rate, share count) for the 3-year projection.</t>
  </si>
  <si>
    <t xml:space="preserve">•  Income Statement — FY2021A–FY2025A consolidated actuals plus FY2026E–FY2028E projection, from GMV down to EPS, with an Adjusted EBITDA memo and growth/margin rows throughout.</t>
  </si>
  <si>
    <t xml:space="preserve">•  Segment &amp; Growth — FY2023A/FY2024A segment detail (Asia, MENA, Europe, Americas, Integrated Verticals) by GMV, Segment Revenue and Adjusted EBITDA, a group KPI growth trend FY2023A–FY2028E, and supporting charts.</t>
  </si>
  <si>
    <t xml:space="preserve">Data provenance &amp; known limitations</t>
  </si>
  <si>
    <t xml:space="preserve">FY2023A and FY2024A consolidated income statement detail (cost of sales, marketing, IT, G&amp;A, other operating income/expense, net interest, other financial result, tax, non-controlling interests) and the FY2024 vs FY2023 segment table are transcribed directly from Delivery Hero's Annual Report 2024 (Consolidated Statement of Profit or Loss, p.145; Key Figures, p.4). These are the most granular, highest-confidence figures in the model.</t>
  </si>
  <si>
    <t xml:space="preserve">FY2021A, FY2022A and FY2025A show summary lines only (Revenue, Gross profit, Operating result, Net result attributable to shareholders, EPS, and — for FY2025A — GMV, Total Segment Revenue and Adjusted EBITDA) because the full FY2025 Annual Report / the FY2021–FY2022 annual reports were not part of this analysis; these summary figures are sourced from company press releases and a third-party market-data aggregator (stockanalysis.com) rather than transcribed line-by-line from the primary filing. Diluted share counts for actual years are back-solved (Net result attributable to parent ÷ EPS) rather than independently sourced.</t>
  </si>
  <si>
    <t xml:space="preserve">FY2025A GMV (≈€49.2bn) and Total Segment Revenue (≈€14.8bn) are rounded from figures disclosed as "€49.2 billion" / "€14.8 billion" in the FY2025 results press release, not exact to the decimal. FY2023A Free Cash Flow (≈−€366m) is derived as FY2024A disclosed FCF (≈€100m) less the disclosed ≈€466m YoY increase; FY2025A FCF uses the low end of the disclosed "more than €200 million" as a point estimate.</t>
  </si>
  <si>
    <t xml:space="preserve">FY2026E–FY2028E is a projection, not guidance, except where noted: GMV growth of 9.0% for FY2026E is the midpoint of management's disclosed 8–10% guidance, and the FY2026E Adjusted EBITDA margin assumption is calibrated to fall within management's disclosed €910–960m guidance range. All other FY2026E assumptions and all FY2027E–FY2028E assumptions are illustrative extrapolations of recent trends, fully editable on the Assumptions tab, and should not be read as company guidance.</t>
  </si>
  <si>
    <t xml:space="preserve">All figures in EUR million unless stated otherwise. Fiscal year end December 31.</t>
  </si>
  <si>
    <t xml:space="preserve">Sources</t>
  </si>
  <si>
    <t xml:space="preserve">•  Delivery Hero SE, Annual Report 2024 (Consolidated Financial Statements &amp; Key Figures)</t>
  </si>
  <si>
    <t xml:space="preserve">•  Delivery Hero, "Delivery Hero reports strong Q4, while business transforms into Everyday App" (FY2024 results commentary)</t>
  </si>
  <si>
    <t xml:space="preserve">•  Delivery Hero, "Delivery Hero reports adj. EBITDA up 30% in 2025..." (FY2025 results, Feb 2026)</t>
  </si>
  <si>
    <t xml:space="preserve">•  Delivery Hero, FY2026 guidance commentary (Q4 2025 / Q1 2026 trading updates)</t>
  </si>
  <si>
    <t xml:space="preserve">•  stockanalysis.com, Delivery Hero SE (ETR:DHER) financials (FY2021–FY2022 and FY2025 summary income statement lines)</t>
  </si>
  <si>
    <t xml:space="preserve">Prepared August 2026 for illustrative / analytical purposes; not investment advice.</t>
  </si>
  <si>
    <t xml:space="preserve">Delivery Hero SE — Forecast Assumptions (FY2026E-FY2028E)</t>
  </si>
  <si>
    <t xml:space="preserve">Blue cells are editable inputs; every downstream formula on the Income Statement and Segment &amp; Growth tabs recalculates automatically. FY2026E GMV growth and Adjusted EBITDA margin are anchored to disclosed guidance; all else is illustrative — see README.</t>
  </si>
  <si>
    <t xml:space="preserve">Driver</t>
  </si>
  <si>
    <t xml:space="preserve">FY2025A (ref)</t>
  </si>
  <si>
    <t xml:space="preserve">FY2026E</t>
  </si>
  <si>
    <t xml:space="preserve">FY2027E</t>
  </si>
  <si>
    <t xml:space="preserve">FY2028E</t>
  </si>
  <si>
    <t xml:space="preserve">Note</t>
  </si>
  <si>
    <t xml:space="preserve">GMV growth % YoY</t>
  </si>
  <si>
    <t xml:space="preserve">FY26 = midpoint of disclosed 8-10% YoY LfL guidance; FY27-28 illustrative moderation</t>
  </si>
  <si>
    <t xml:space="preserve">Segment Revenue / GMV (take rate) %</t>
  </si>
  <si>
    <t xml:space="preserve">Continued monetization/AdTech gains lift take rate (FY23A 23.1% -&gt; FY24A 26.3% -&gt; FY25A ~30.1%)</t>
  </si>
  <si>
    <t xml:space="preserve">Revenue (IFRS) / Total Segment Revenue %</t>
  </si>
  <si>
    <t xml:space="preserve">Held near the FY23A-FY25A average (~95.4%)</t>
  </si>
  <si>
    <t xml:space="preserve">Gross margin % (Gross profit / Revenue)</t>
  </si>
  <si>
    <t xml:space="preserve">Stabilizing after the FY23A-FY25A decline (29.9% -&gt; 27.1% -&gt; 24.4%) as Dmart/quick-commerce mix normalizes</t>
  </si>
  <si>
    <t xml:space="preserve">Adjusted EBITDA margin (% of GMV)</t>
  </si>
  <si>
    <t xml:space="preserve">FY26E calibrated within disclosed EUR 910-960m guidance; FY27-28 illustrative continued operating leverage</t>
  </si>
  <si>
    <t xml:space="preserve">Bridge: D&amp;A/SBC/impairments/other (% of Segment Revenue)</t>
  </si>
  <si>
    <t xml:space="preserve">Narrows as one-off impairments normalize (FY23A implied 18.3% of SegRev -&gt; FY24A 8.1% -&gt; FY25A ~5.5%)</t>
  </si>
  <si>
    <t xml:space="preserve">Net interest expense (% of Revenue)</t>
  </si>
  <si>
    <t xml:space="preserve">Gradual improvement as leverage stays low against a EUR 3.8bn cash position (FY24A ref, ~2.0% of revenue; FY25A detail not shown)</t>
  </si>
  <si>
    <t xml:space="preserve">Other financial result + equity-method result (EUR m)</t>
  </si>
  <si>
    <t xml:space="preserve">n/a</t>
  </si>
  <si>
    <t xml:space="preserve">Held flat / netted to zero for simplicity — historically volatile FX and derivative-driven swing item</t>
  </si>
  <si>
    <t xml:space="preserve">Effective tax rate (applied only when EBT &gt; 0)</t>
  </si>
  <si>
    <t xml:space="preserve">Normalized statutory-type rate applied prospectively once the group returns to pre-tax profit</t>
  </si>
  <si>
    <t xml:space="preserve">Non-controlling interests (% of Net result)</t>
  </si>
  <si>
    <t xml:space="preserve">Historically immaterial (&lt;0.1% of Net result in FY23A-FY24A)</t>
  </si>
  <si>
    <t xml:space="preserve">Diluted share count growth % YoY</t>
  </si>
  <si>
    <t xml:space="preserve">Reflects ongoing equity-settled share-based compensation / capital increases (diluted shares grew ~5-6%/yr FY23A-FY25A)</t>
  </si>
  <si>
    <t xml:space="preserve">Free Cash Flow (EUR m, direct estimate)</t>
  </si>
  <si>
    <t xml:space="preserve">FY26E consistent with disclosed 'above EUR 200m' guidance; FY27-28 illustrative continued FCF ramp</t>
  </si>
  <si>
    <t xml:space="preserve">Delivery Hero SE — Consolidated Income Statement</t>
  </si>
  <si>
    <t xml:space="preserve">EUR million unless noted | FYE Dec 31 | FY2023A-FY2024A detail per Annual Report 2024; FY2021A/FY2022A/FY2025A summary lines only; FY2026E-FY2028E projected — see README for sources &amp; methodology</t>
  </si>
  <si>
    <t xml:space="preserve">EUR million</t>
  </si>
  <si>
    <t xml:space="preserve">FY2021A</t>
  </si>
  <si>
    <t xml:space="preserve">FY2022A</t>
  </si>
  <si>
    <t xml:space="preserve">FY2023A</t>
  </si>
  <si>
    <t xml:space="preserve">FY2024A</t>
  </si>
  <si>
    <t xml:space="preserve">FY2025A</t>
  </si>
  <si>
    <t xml:space="preserve">VOLUME &amp; TOP-LINE</t>
  </si>
  <si>
    <t xml:space="preserve">Gross Merchandise Value (GMV)</t>
  </si>
  <si>
    <t xml:space="preserve">  % growth YoY</t>
  </si>
  <si>
    <t xml:space="preserve">Total Segment Revenue (non-IFRS)</t>
  </si>
  <si>
    <t xml:space="preserve">  Segment Revenue / GMV (take rate) %</t>
  </si>
  <si>
    <t xml:space="preserve">Revenue (IFRS, consolidated)</t>
  </si>
  <si>
    <t xml:space="preserve">  Revenue / Total Segment Revenue %</t>
  </si>
  <si>
    <t xml:space="preserve">PROFITABILITY</t>
  </si>
  <si>
    <t xml:space="preserve">Cost of sales</t>
  </si>
  <si>
    <t xml:space="preserve">Gross profit</t>
  </si>
  <si>
    <t xml:space="preserve">  Gross margin %</t>
  </si>
  <si>
    <t xml:space="preserve">Marketing expenses</t>
  </si>
  <si>
    <t xml:space="preserve">IT expenses</t>
  </si>
  <si>
    <t xml:space="preserve">General &amp; administrative expenses</t>
  </si>
  <si>
    <t xml:space="preserve">Other operating income</t>
  </si>
  <si>
    <t xml:space="preserve">Other operating expenses &amp; goodwill impairment</t>
  </si>
  <si>
    <t xml:space="preserve">Impairment losses on trade receivables &amp; other assets</t>
  </si>
  <si>
    <t xml:space="preserve">Operating result (EBIT)</t>
  </si>
  <si>
    <t xml:space="preserve">  Operating margin %</t>
  </si>
  <si>
    <t xml:space="preserve">BELOW EBIT</t>
  </si>
  <si>
    <t xml:space="preserve">Net interest result</t>
  </si>
  <si>
    <t xml:space="preserve">Other financial result</t>
  </si>
  <si>
    <t xml:space="preserve">Share of profit/loss of equity-method investees</t>
  </si>
  <si>
    <t xml:space="preserve">Earnings before income taxes (EBT)</t>
  </si>
  <si>
    <t xml:space="preserve">Income taxes</t>
  </si>
  <si>
    <t xml:space="preserve">Net result</t>
  </si>
  <si>
    <t xml:space="preserve">Non-controlling interests</t>
  </si>
  <si>
    <t xml:space="preserve">Net result attributable to shareholders of the parent</t>
  </si>
  <si>
    <t xml:space="preserve">  Net margin %</t>
  </si>
  <si>
    <t xml:space="preserve">PER SHARE</t>
  </si>
  <si>
    <t xml:space="preserve">Diluted &amp; basic EPS (EUR)</t>
  </si>
  <si>
    <t xml:space="preserve">Diluted shares outstanding (million)</t>
  </si>
  <si>
    <t xml:space="preserve">MEMO: ADJUSTED EBITDA (non-IFRS)</t>
  </si>
  <si>
    <t xml:space="preserve">Adjusted EBITDA</t>
  </si>
  <si>
    <t xml:space="preserve">  Adjusted EBITDA margin (% of GMV)</t>
  </si>
  <si>
    <t xml:space="preserve">  Adjusted EBITDA margin (% of Revenue)</t>
  </si>
  <si>
    <t xml:space="preserve">  Bridge: D&amp;A, SBC, impairments &amp; other items (Adj. EBITDA less Operating result)</t>
  </si>
  <si>
    <t xml:space="preserve">Free Cash Flow (memo)</t>
  </si>
  <si>
    <t xml:space="preserve">Notes:</t>
  </si>
  <si>
    <t xml:space="preserve">GMV, Total Segment Revenue and segment figures are as defined and disclosed by Delivery Hero (non-IFRS); Total Segment Revenue is revenue before deduction of vouchers, adjusted for reconciliation effects, and will not equal the sum of reported segment revenues due to intersegment consolidation.</t>
  </si>
  <si>
    <t xml:space="preserve">FY2021A/FY2022A/FY2025A cost-line detail (cost of sales, marketing, IT, G&amp;A, other operating income/expense, net interest, tax, NCI) is not shown — see README for sourcing detail; Operating result and Net result to parent for those years are reported actuals, not sums of the (blank) detail rows above them.</t>
  </si>
  <si>
    <t xml:space="preserve">GMV/Segment Revenue % growth rows above are AS-REPORTED (EUR) growth. Delivery Hero's own FY2025A headline growth is disclosed on a like-for-like (constant-currency) basis and was materially higher (+9.0% GMV LfL, +23.1% Total Segment Revenue LfL) than the as-reported EUR growth shown here (+0.9% / +15.7%), reflecting FX/hyperinflation translation headwinds (notably Turkey and Argentina). Guidance figures referenced on the Assumptions tab are LfL; the projection rows they drive are, for simplicity, treated as as-reported EUR growth.</t>
  </si>
  <si>
    <t xml:space="preserve">FY2026E-FY2028E (yellow-shaded) are formula-driven from the Assumptions tab. FY2026E GMV growth and Adjusted EBITDA margin are calibrated to management's disclosed guidance (GMV +8-10% YoY LfL; Adjusted EBITDA EUR 910-960m); all other forecast inputs are illustrative and fully editable.</t>
  </si>
  <si>
    <t xml:space="preserve">Delivery Hero SE — Segment &amp; Growth Detail</t>
  </si>
  <si>
    <t xml:space="preserve">EUR million unless noted | Segment table per Annual Report 2024 (Key Figures, p.4); KPI trend links to Income Statement tab</t>
  </si>
  <si>
    <t xml:space="preserve">SEGMENT DETAIL — FY2024A vs FY2023A (as reported)</t>
  </si>
  <si>
    <t xml:space="preserve">Segment</t>
  </si>
  <si>
    <t xml:space="preserve">GMV FY24A</t>
  </si>
  <si>
    <t xml:space="preserve">GMV FY23A</t>
  </si>
  <si>
    <t xml:space="preserve">GMV grow%</t>
  </si>
  <si>
    <t xml:space="preserve">Seg.Rev FY24A</t>
  </si>
  <si>
    <t xml:space="preserve">Seg.Rev FY23A</t>
  </si>
  <si>
    <t xml:space="preserve">Seg.Rev grow%</t>
  </si>
  <si>
    <t xml:space="preserve">Adj.EBITDA FY24A</t>
  </si>
  <si>
    <t xml:space="preserve">Adj.EBITDA FY23A</t>
  </si>
  <si>
    <t xml:space="preserve">Adj.EBITDA grow%</t>
  </si>
  <si>
    <t xml:space="preserve">Adj.EBITDA/GMV FY24A</t>
  </si>
  <si>
    <t xml:space="preserve">Adj.EBITDA/GMV FY23A</t>
  </si>
  <si>
    <t xml:space="preserve">Asia</t>
  </si>
  <si>
    <t xml:space="preserve">MENA</t>
  </si>
  <si>
    <t xml:space="preserve">Europe</t>
  </si>
  <si>
    <t xml:space="preserve">Americas</t>
  </si>
  <si>
    <t xml:space="preserve">Integrated Verticals</t>
  </si>
  <si>
    <t xml:space="preserve">Group Total</t>
  </si>
  <si>
    <t xml:space="preserve">Note: Group Total is reported directly (not a sum of segments) because Total Segment Revenue and GMV include intersegment consolidation adjustments; Integrated Verticals GMV is shown for illustrative purposes only and is also captured within the platform segments.</t>
  </si>
  <si>
    <t xml:space="preserve">GROUP KPI GROWTH TREND — FY2023A-FY2028E</t>
  </si>
  <si>
    <t xml:space="preserve">Total Segment Revenue</t>
  </si>
  <si>
    <t xml:space="preserve">Revenue (IFRS)</t>
  </si>
  <si>
    <t xml:space="preserve">Net result attributable to parent</t>
  </si>
  <si>
    <t xml:space="preserve">SEGMENT MIX — FY2024A</t>
  </si>
  <si>
    <t xml:space="preserve">Segment Revenue FY24A</t>
  </si>
  <si>
    <t xml:space="preserve">Adj. EBITDA FY24A</t>
  </si>
  <si>
    <t xml:space="preserve">Note: FY2025A GMV/Segment Revenue growth in the table above is as-reported (EUR); Delivery Hero's own disclosed FY2025 headline growth was like-for-like / constant-currency (+9.0% GMV, +23.1% Total Segment Revenue) and was materially higher due to FX/hyperinflation translation headwinds (notably Turkey and Argentina). See Income Statement tab notes for detail.</t>
  </si>
</sst>
</file>

<file path=xl/styles.xml><?xml version="1.0" encoding="utf-8"?>
<styleSheet xmlns="http://schemas.openxmlformats.org/spreadsheetml/2006/main">
  <numFmts count="4">
    <numFmt numFmtId="164" formatCode="General"/>
    <numFmt numFmtId="165" formatCode="0.0%;\(0.0%\)"/>
    <numFmt numFmtId="166" formatCode="#,##0.0;\(#,##0.0\)"/>
    <numFmt numFmtId="167" formatCode="0.00;\(0.00\)"/>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b val="true"/>
      <sz val="12"/>
      <color rgb="FF1F3864"/>
      <name val="Calibri"/>
      <family val="0"/>
      <charset val="1"/>
    </font>
    <font>
      <sz val="10"/>
      <color rgb="FF000000"/>
      <name val="Calibri"/>
      <family val="0"/>
      <charset val="1"/>
    </font>
    <font>
      <i val="true"/>
      <sz val="10"/>
      <color rgb="FF808080"/>
      <name val="Calibri"/>
      <family val="0"/>
      <charset val="1"/>
    </font>
    <font>
      <b val="true"/>
      <sz val="14"/>
      <color rgb="FFFFFFFF"/>
      <name val="Calibri"/>
      <family val="0"/>
      <charset val="1"/>
    </font>
    <font>
      <i val="true"/>
      <sz val="9"/>
      <color rgb="FF595959"/>
      <name val="Calibri"/>
      <family val="0"/>
      <charset val="1"/>
    </font>
    <font>
      <b val="true"/>
      <sz val="10"/>
      <color rgb="FFFFFFFF"/>
      <name val="Calibri"/>
      <family val="0"/>
      <charset val="1"/>
    </font>
    <font>
      <sz val="10"/>
      <color rgb="FF007000"/>
      <name val="Calibri"/>
      <family val="0"/>
      <charset val="1"/>
    </font>
    <font>
      <sz val="10"/>
      <color rgb="FF0000FF"/>
      <name val="Calibri"/>
      <family val="0"/>
      <charset val="1"/>
    </font>
    <font>
      <i val="true"/>
      <sz val="8"/>
      <color rgb="FF808080"/>
      <name val="Calibri"/>
      <family val="0"/>
      <charset val="1"/>
    </font>
    <font>
      <b val="true"/>
      <sz val="10"/>
      <color rgb="FF1F3864"/>
      <name val="Calibri"/>
      <family val="0"/>
      <charset val="1"/>
    </font>
    <font>
      <b val="true"/>
      <sz val="10"/>
      <name val="Calibri"/>
      <family val="0"/>
      <charset val="1"/>
    </font>
    <font>
      <b val="true"/>
      <sz val="10"/>
      <color rgb="FF0000FF"/>
      <name val="Calibri"/>
      <family val="0"/>
      <charset val="1"/>
    </font>
    <font>
      <b val="true"/>
      <sz val="10"/>
      <color rgb="FF007000"/>
      <name val="Calibri"/>
      <family val="0"/>
      <charset val="1"/>
    </font>
    <font>
      <i val="true"/>
      <sz val="10"/>
      <name val="Calibri"/>
      <family val="0"/>
      <charset val="1"/>
    </font>
    <font>
      <sz val="10"/>
      <name val="Calibri"/>
      <family val="0"/>
      <charset val="1"/>
    </font>
    <font>
      <b val="true"/>
      <sz val="10"/>
      <color rgb="FF000000"/>
      <name val="Calibri"/>
      <family val="0"/>
      <charset val="1"/>
    </font>
    <font>
      <b val="true"/>
      <sz val="8"/>
      <color rgb="FF808080"/>
      <name val="Calibri"/>
      <family val="0"/>
      <charset val="1"/>
    </font>
    <font>
      <b val="true"/>
      <sz val="9"/>
      <color rgb="FFFFFFFF"/>
      <name val="Calibri"/>
      <family val="0"/>
      <charset val="1"/>
    </font>
    <font>
      <b val="true"/>
      <sz val="11"/>
      <name val="Cambria"/>
      <family val="0"/>
      <charset val="1"/>
    </font>
    <font>
      <i val="true"/>
      <sz val="11"/>
      <name val="Cambria"/>
      <family val="0"/>
      <charset val="1"/>
    </font>
    <font>
      <sz val="11"/>
      <name val="Cambria"/>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99"/>
      </patternFill>
    </fill>
    <fill>
      <patternFill patternType="solid">
        <fgColor rgb="FFFFF2CC"/>
        <bgColor rgb="FFF9F9F9"/>
      </patternFill>
    </fill>
    <fill>
      <patternFill patternType="solid">
        <fgColor rgb="FFD9D9D9"/>
        <bgColor rgb="FFBFBFB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6" fontId="13" fillId="0" borderId="0" xfId="0" applyFont="true" applyBorder="false" applyAlignment="true" applyProtection="false">
      <alignment horizontal="center"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6" fontId="17" fillId="3"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66" fontId="16" fillId="0" borderId="2" xfId="0" applyFont="true" applyBorder="true" applyAlignment="false" applyProtection="false">
      <alignment horizontal="general" vertical="bottom" textRotation="0" wrapText="false" indent="0" shrinkToFit="false"/>
      <protection locked="true" hidden="false"/>
    </xf>
    <xf numFmtId="166" fontId="20" fillId="0" borderId="2" xfId="0" applyFont="true" applyBorder="true" applyAlignment="false" applyProtection="false">
      <alignment horizontal="general" vertical="bottom" textRotation="0" wrapText="false" indent="0" shrinkToFit="false"/>
      <protection locked="true" hidden="false"/>
    </xf>
    <xf numFmtId="166" fontId="20" fillId="3" borderId="2" xfId="0" applyFont="true" applyBorder="true" applyAlignment="false" applyProtection="false">
      <alignment horizontal="general" vertical="bottom" textRotation="0" wrapText="false" indent="0" shrinkToFit="false"/>
      <protection locked="true" hidden="false"/>
    </xf>
    <xf numFmtId="166" fontId="12" fillId="3"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7" fontId="20" fillId="3"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22"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3" fillId="0" borderId="2" xfId="0" applyFont="true" applyBorder="true" applyAlignment="false" applyProtection="false">
      <alignment horizontal="general" vertical="bottom" textRotation="0" wrapText="false" indent="0" shrinkToFit="false"/>
      <protection locked="true" hidden="false"/>
    </xf>
    <xf numFmtId="165" fontId="20" fillId="0"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7000"/>
      <rgbColor rgb="FF000080"/>
      <rgbColor rgb="FF9BBB59"/>
      <rgbColor rgb="FF800080"/>
      <rgbColor rgb="FF008080"/>
      <rgbColor rgb="FFBFBFBF"/>
      <rgbColor rgb="FF808080"/>
      <rgbColor rgb="FF9999FF"/>
      <rgbColor rgb="FFAB4744"/>
      <rgbColor rgb="FFFFF2CC"/>
      <rgbColor rgb="FFF9F9F9"/>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4BACC6"/>
      <rgbColor rgb="FF98B855"/>
      <rgbColor rgb="FFFFCC00"/>
      <rgbColor rgb="FFBF8F00"/>
      <rgbColor rgb="FFFF6600"/>
      <rgbColor rgb="FF8064A2"/>
      <rgbColor rgb="FF878787"/>
      <rgbColor rgb="FF1F3864"/>
      <rgbColor rgb="FF339966"/>
      <rgbColor rgb="FF003300"/>
      <rgbColor rgb="FF333300"/>
      <rgbColor rgb="FF993300"/>
      <rgbColor rgb="FFC0504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GMV &amp; Total Segment Revenue — FY2023A-FY2028E (EUR m)</a:t>
            </a:r>
          </a:p>
        </c:rich>
      </c:tx>
      <c:overlay val="0"/>
      <c:spPr>
        <a:noFill/>
        <a:ln w="0">
          <a:noFill/>
        </a:ln>
      </c:spPr>
    </c:title>
    <c:autoTitleDeleted val="0"/>
    <c:plotArea>
      <c:barChart>
        <c:barDir val="col"/>
        <c:grouping val="clustered"/>
        <c:varyColors val="0"/>
        <c:ser>
          <c:idx val="0"/>
          <c:order val="0"/>
          <c:tx>
            <c:strRef>
              <c:f>'Segment &amp; Growth'!A17</c:f>
              <c:strCache>
                <c:ptCount val="1"/>
                <c:pt idx="0">
                  <c:v>Gross Merchandise Value (GMV)</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'Segment &amp; Growth'!$B$16:$G$16</c:f>
              <c:strCache>
                <c:ptCount val="6"/>
                <c:pt idx="0">
                  <c:v>FY2023A</c:v>
                </c:pt>
                <c:pt idx="1">
                  <c:v>FY2024A</c:v>
                </c:pt>
                <c:pt idx="2">
                  <c:v>FY2025A</c:v>
                </c:pt>
                <c:pt idx="3">
                  <c:v>FY2026E</c:v>
                </c:pt>
                <c:pt idx="4">
                  <c:v>FY2027E</c:v>
                </c:pt>
                <c:pt idx="5">
                  <c:v>FY2028E</c:v>
                </c:pt>
              </c:strCache>
            </c:strRef>
          </c:cat>
          <c:val>
            <c:numRef>
              <c:f>'Segment &amp; Growth'!$B$17:$G$17</c:f>
              <c:numCache>
                <c:formatCode>#,##0.0;\(#,##0.0\)</c:formatCode>
                <c:ptCount val="6"/>
                <c:pt idx="0">
                  <c:v>45275.2</c:v>
                </c:pt>
                <c:pt idx="1">
                  <c:v>48754</c:v>
                </c:pt>
                <c:pt idx="2">
                  <c:v>49200</c:v>
                </c:pt>
                <c:pt idx="3">
                  <c:v>53628</c:v>
                </c:pt>
                <c:pt idx="4">
                  <c:v>57918.24</c:v>
                </c:pt>
                <c:pt idx="5">
                  <c:v>62262.108</c:v>
                </c:pt>
              </c:numCache>
            </c:numRef>
          </c:val>
        </c:ser>
        <c:ser>
          <c:idx val="1"/>
          <c:order val="1"/>
          <c:tx>
            <c:strRef>
              <c:f>'Segment &amp; Growth'!A19</c:f>
              <c:strCache>
                <c:ptCount val="1"/>
                <c:pt idx="0">
                  <c:v>Total Segment Revenue</c:v>
                </c:pt>
              </c:strCache>
            </c:strRef>
          </c:tx>
          <c:spPr>
            <a:solidFill>
              <a:srgbClr val="C0504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'Segment &amp; Growth'!$B$16:$G$16</c:f>
              <c:strCache>
                <c:ptCount val="6"/>
                <c:pt idx="0">
                  <c:v>FY2023A</c:v>
                </c:pt>
                <c:pt idx="1">
                  <c:v>FY2024A</c:v>
                </c:pt>
                <c:pt idx="2">
                  <c:v>FY2025A</c:v>
                </c:pt>
                <c:pt idx="3">
                  <c:v>FY2026E</c:v>
                </c:pt>
                <c:pt idx="4">
                  <c:v>FY2027E</c:v>
                </c:pt>
                <c:pt idx="5">
                  <c:v>FY2028E</c:v>
                </c:pt>
              </c:strCache>
            </c:strRef>
          </c:cat>
          <c:val>
            <c:numRef>
              <c:f>'Segment &amp; Growth'!$B$19:$G$19</c:f>
              <c:numCache>
                <c:formatCode>#,##0.0;\(#,##0.0\)</c:formatCode>
                <c:ptCount val="6"/>
                <c:pt idx="0">
                  <c:v>10463.2</c:v>
                </c:pt>
                <c:pt idx="1">
                  <c:v>12796.4</c:v>
                </c:pt>
                <c:pt idx="2">
                  <c:v>14800</c:v>
                </c:pt>
                <c:pt idx="3">
                  <c:v>16356.54</c:v>
                </c:pt>
                <c:pt idx="4">
                  <c:v>17954.6544</c:v>
                </c:pt>
                <c:pt idx="5">
                  <c:v>19612.56402</c:v>
                </c:pt>
              </c:numCache>
            </c:numRef>
          </c:val>
        </c:ser>
        <c:gapWidth val="60"/>
        <c:overlap val="0"/>
        <c:axId val="62161576"/>
        <c:axId val="44657520"/>
      </c:barChart>
      <c:lineChart>
        <c:grouping val="standard"/>
        <c:varyColors val="0"/>
        <c:ser>
          <c:idx val="2"/>
          <c:order val="2"/>
          <c:tx>
            <c:strRef>
              <c:f>'Segment &amp; Growth'!A25</c:f>
              <c:strCache>
                <c:ptCount val="1"/>
                <c:pt idx="0">
                  <c:v>Adjusted EBITDA</c:v>
                </c:pt>
              </c:strCache>
            </c:strRef>
          </c:tx>
          <c:spPr>
            <a:solidFill>
              <a:srgbClr val="98B855"/>
            </a:solidFill>
            <a:ln w="1260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'Segment &amp; Growth'!$B$16:$G$16</c:f>
              <c:strCache>
                <c:ptCount val="6"/>
                <c:pt idx="0">
                  <c:v>FY2023A</c:v>
                </c:pt>
                <c:pt idx="1">
                  <c:v>FY2024A</c:v>
                </c:pt>
                <c:pt idx="2">
                  <c:v>FY2025A</c:v>
                </c:pt>
                <c:pt idx="3">
                  <c:v>FY2026E</c:v>
                </c:pt>
                <c:pt idx="4">
                  <c:v>FY2027E</c:v>
                </c:pt>
                <c:pt idx="5">
                  <c:v>FY2028E</c:v>
                </c:pt>
              </c:strCache>
            </c:strRef>
          </c:cat>
          <c:val>
            <c:numRef>
              <c:f>'Segment &amp; Growth'!$B$25:$G$25</c:f>
              <c:numCache>
                <c:formatCode>#,##0.0;\(#,##0.0\)</c:formatCode>
                <c:ptCount val="6"/>
                <c:pt idx="0">
                  <c:v>253.6</c:v>
                </c:pt>
                <c:pt idx="1">
                  <c:v>692.5</c:v>
                </c:pt>
                <c:pt idx="2">
                  <c:v>903</c:v>
                </c:pt>
                <c:pt idx="3">
                  <c:v>938.49</c:v>
                </c:pt>
                <c:pt idx="4">
                  <c:v>1158.3648</c:v>
                </c:pt>
                <c:pt idx="5">
                  <c:v>1400.89743</c:v>
                </c:pt>
              </c:numCache>
            </c:numRef>
          </c:val>
          <c:smooth val="1"/>
        </c:ser>
        <c:hiLowLines>
          <c:spPr>
            <a:ln w="0">
              <a:noFill/>
            </a:ln>
          </c:spPr>
        </c:hiLowLines>
        <c:marker val="0"/>
        <c:axId val="12115024"/>
        <c:axId val="2959020"/>
      </c:lineChart>
      <c:catAx>
        <c:axId val="6216157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4657520"/>
        <c:crosses val="autoZero"/>
        <c:auto val="1"/>
        <c:lblAlgn val="ctr"/>
        <c:lblOffset val="100"/>
        <c:noMultiLvlLbl val="0"/>
      </c:catAx>
      <c:valAx>
        <c:axId val="4465752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EUR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161576"/>
        <c:crosses val="autoZero"/>
        <c:crossBetween val="between"/>
      </c:valAx>
      <c:catAx>
        <c:axId val="12115024"/>
        <c:scaling>
          <c:orientation val="minMax"/>
        </c:scaling>
        <c:delete val="0"/>
        <c:axPos val="t"/>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959020"/>
        <c:crosses val="autoZero"/>
        <c:auto val="1"/>
        <c:lblAlgn val="ctr"/>
        <c:lblOffset val="100"/>
        <c:noMultiLvlLbl val="0"/>
      </c:catAx>
      <c:valAx>
        <c:axId val="2959020"/>
        <c:scaling>
          <c:orientation val="minMax"/>
        </c:scaling>
        <c:delete val="0"/>
        <c:axPos val="r"/>
        <c:title>
          <c:tx>
            <c:rich>
              <a:bodyPr rot="-5400000"/>
              <a:lstStyle/>
              <a:p>
                <a:pPr>
                  <a:defRPr sz="1300" b="0" u="none" strike="noStrike">
                    <a:uFillTx/>
                    <a:latin typeface="Arial"/>
                  </a:defRPr>
                </a:pPr>
                <a:r>
                  <a:rPr sz="1000" b="1" u="none" strike="noStrike">
                    <a:solidFill>
                      <a:srgbClr val="000000"/>
                    </a:solidFill>
                    <a:uFillTx/>
                    <a:latin typeface="Calibri"/>
                  </a:rPr>
                  <a:t>Adjusted EBITDA (EUR m)</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2115024"/>
        <c:crosses val="max"/>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GMV Mix by Segment — FY2024A</a:t>
            </a:r>
          </a:p>
        </c:rich>
      </c:tx>
      <c:overlay val="0"/>
      <c:spPr>
        <a:noFill/>
        <a:ln w="0">
          <a:noFill/>
        </a:ln>
      </c:spPr>
    </c:title>
    <c:autoTitleDeleted val="0"/>
    <c:plotArea>
      <c:pieChart>
        <c:varyColors val="1"/>
        <c:ser>
          <c:idx val="0"/>
          <c:order val="0"/>
          <c:tx>
            <c:strRef>
              <c:f>'Segment &amp; Growth'!B32</c:f>
              <c:strCache>
                <c:ptCount val="1"/>
                <c:pt idx="0">
                  <c:v>GMV FY24A</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Pt>
            <c:idx val="3"/>
            <c:spPr>
              <a:solidFill>
                <a:srgbClr val="8064A2"/>
              </a:solidFill>
              <a:ln w="12600">
                <a:noFill/>
              </a:ln>
            </c:spPr>
          </c:dPt>
          <c:dPt>
            <c:idx val="4"/>
            <c:spPr>
              <a:solidFill>
                <a:srgbClr val="4BACC6"/>
              </a:solidFill>
              <a:ln w="1260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dLbl>
              <c:idx val="3"/>
              <c:txPr>
                <a:bodyPr wrap="none"/>
                <a:lstStyle/>
                <a:p>
                  <a:pPr>
                    <a:defRPr sz="1000" b="0" u="none" strike="noStrike">
                      <a:uFillTx/>
                      <a:latin typeface="Arial"/>
                    </a:defRPr>
                  </a:pPr>
                </a:p>
              </c:txPr>
              <c:showLegendKey val="0"/>
              <c:showVal val="0"/>
              <c:showCatName val="0"/>
              <c:showSerName val="0"/>
              <c:showPercent val="0"/>
              <c:separator> </c:separator>
            </c:dLbl>
            <c:dLbl>
              <c:idx val="4"/>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'Segment &amp; Growth'!$A$33:$A$37</c:f>
              <c:strCache>
                <c:ptCount val="5"/>
                <c:pt idx="0">
                  <c:v>Asia</c:v>
                </c:pt>
                <c:pt idx="1">
                  <c:v>MENA</c:v>
                </c:pt>
                <c:pt idx="2">
                  <c:v>Europe</c:v>
                </c:pt>
                <c:pt idx="3">
                  <c:v>Americas</c:v>
                </c:pt>
                <c:pt idx="4">
                  <c:v>Integrated Verticals</c:v>
                </c:pt>
              </c:strCache>
            </c:strRef>
          </c:cat>
          <c:val>
            <c:numRef>
              <c:f>'Segment &amp; Growth'!$B$33:$B$37</c:f>
              <c:numCache>
                <c:formatCode>#,##0.0;\(#,##0.0\)</c:formatCode>
                <c:ptCount val="5"/>
                <c:pt idx="0">
                  <c:v>23407.4</c:v>
                </c:pt>
                <c:pt idx="1">
                  <c:v>12825.9</c:v>
                </c:pt>
                <c:pt idx="2">
                  <c:v>8878.7</c:v>
                </c:pt>
                <c:pt idx="3">
                  <c:v>3642</c:v>
                </c:pt>
                <c:pt idx="4">
                  <c:v>2904.7</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2"/>
  <c:chart>
    <c:title>
      <c:tx>
        <c:rich>
          <a:bodyPr rot="0"/>
          <a:lstStyle/>
          <a:p>
            <a:pPr>
              <a:defRPr sz="1300" b="0" u="none" strike="noStrike">
                <a:uFillTx/>
                <a:latin typeface="Arial"/>
              </a:defRPr>
            </a:pPr>
            <a:r>
              <a:rPr sz="1800" b="1" u="none" strike="noStrike">
                <a:solidFill>
                  <a:srgbClr val="000000"/>
                </a:solidFill>
                <a:uFillTx/>
                <a:latin typeface="Calibri"/>
              </a:rPr>
              <a:t>Adjusted EBITDA by Segment — FY2024A vs FY2023A (EUR m)</a:t>
            </a:r>
          </a:p>
        </c:rich>
      </c:tx>
      <c:overlay val="0"/>
      <c:spPr>
        <a:noFill/>
        <a:ln w="0">
          <a:noFill/>
        </a:ln>
      </c:spPr>
    </c:title>
    <c:autoTitleDeleted val="0"/>
    <c:plotArea>
      <c:barChart>
        <c:barDir val="col"/>
        <c:grouping val="clustered"/>
        <c:varyColors val="0"/>
        <c:ser>
          <c:idx val="0"/>
          <c:order val="0"/>
          <c:tx>
            <c:strRef>
              <c:f>'Segment &amp; Growth'!H5</c:f>
              <c:strCache>
                <c:ptCount val="1"/>
                <c:pt idx="0">
                  <c:v>Adj.EBITDA FY24A</c:v>
                </c:pt>
              </c:strCache>
            </c:strRef>
          </c:tx>
          <c:spPr>
            <a:solidFill>
              <a:srgbClr val="AB4744"/>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'Segment &amp; Growth'!$A$6:$A$10</c:f>
              <c:strCache>
                <c:ptCount val="5"/>
                <c:pt idx="0">
                  <c:v>Asia</c:v>
                </c:pt>
                <c:pt idx="1">
                  <c:v>MENA</c:v>
                </c:pt>
                <c:pt idx="2">
                  <c:v>Europe</c:v>
                </c:pt>
                <c:pt idx="3">
                  <c:v>Americas</c:v>
                </c:pt>
                <c:pt idx="4">
                  <c:v>Integrated Verticals</c:v>
                </c:pt>
              </c:strCache>
            </c:strRef>
          </c:cat>
          <c:val>
            <c:numRef>
              <c:f>'Segment &amp; Growth'!$H$6:$H$10</c:f>
              <c:numCache>
                <c:formatCode>#,##0.0;\(#,##0.0\)</c:formatCode>
                <c:ptCount val="5"/>
                <c:pt idx="0">
                  <c:v>385.1</c:v>
                </c:pt>
                <c:pt idx="1">
                  <c:v>472.9</c:v>
                </c:pt>
                <c:pt idx="2">
                  <c:v>-77</c:v>
                </c:pt>
                <c:pt idx="3">
                  <c:v>10.3</c:v>
                </c:pt>
                <c:pt idx="4">
                  <c:v>-98.7</c:v>
                </c:pt>
              </c:numCache>
            </c:numRef>
          </c:val>
        </c:ser>
        <c:ser>
          <c:idx val="1"/>
          <c:order val="1"/>
          <c:tx>
            <c:strRef>
              <c:f>'Segment &amp; Growth'!I5</c:f>
              <c:strCache>
                <c:ptCount val="1"/>
                <c:pt idx="0">
                  <c:v>Adj.EBITDA FY23A</c:v>
                </c:pt>
              </c:strCache>
            </c:strRef>
          </c:tx>
          <c:spPr>
            <a:solidFill>
              <a:srgbClr val="D09493"/>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'Segment &amp; Growth'!$A$6:$A$10</c:f>
              <c:strCache>
                <c:ptCount val="5"/>
                <c:pt idx="0">
                  <c:v>Asia</c:v>
                </c:pt>
                <c:pt idx="1">
                  <c:v>MENA</c:v>
                </c:pt>
                <c:pt idx="2">
                  <c:v>Europe</c:v>
                </c:pt>
                <c:pt idx="3">
                  <c:v>Americas</c:v>
                </c:pt>
                <c:pt idx="4">
                  <c:v>Integrated Verticals</c:v>
                </c:pt>
              </c:strCache>
            </c:strRef>
          </c:cat>
          <c:val>
            <c:numRef>
              <c:f>'Segment &amp; Growth'!$I$6:$I$10</c:f>
              <c:numCache>
                <c:formatCode>#,##0.0;\(#,##0.0\)</c:formatCode>
                <c:ptCount val="5"/>
                <c:pt idx="0">
                  <c:v>385</c:v>
                </c:pt>
                <c:pt idx="1">
                  <c:v>304.6</c:v>
                </c:pt>
                <c:pt idx="2">
                  <c:v>-168.2</c:v>
                </c:pt>
                <c:pt idx="3">
                  <c:v>-49.9</c:v>
                </c:pt>
                <c:pt idx="4">
                  <c:v>-217.9</c:v>
                </c:pt>
              </c:numCache>
            </c:numRef>
          </c:val>
        </c:ser>
        <c:gapWidth val="150"/>
        <c:overlap val="0"/>
        <c:axId val="88843396"/>
        <c:axId val="90084384"/>
      </c:barChart>
      <c:catAx>
        <c:axId val="888433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084384"/>
        <c:crosses val="autoZero"/>
        <c:auto val="1"/>
        <c:lblAlgn val="ctr"/>
        <c:lblOffset val="100"/>
        <c:noMultiLvlLbl val="0"/>
      </c:catAx>
      <c:valAx>
        <c:axId val="9008438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EUR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884339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0</xdr:rowOff>
    </xdr:from>
    <xdr:to>
      <xdr:col>7</xdr:col>
      <xdr:colOff>10080</xdr:colOff>
      <xdr:row>57</xdr:row>
      <xdr:rowOff>1080</xdr:rowOff>
    </xdr:to>
    <xdr:graphicFrame>
      <xdr:nvGraphicFramePr>
        <xdr:cNvPr id="1" name="Chart 1"/>
        <xdr:cNvGraphicFramePr/>
      </xdr:nvGraphicFramePr>
      <xdr:xfrm>
        <a:off x="0" y="794124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40</xdr:row>
      <xdr:rowOff>0</xdr:rowOff>
    </xdr:from>
    <xdr:to>
      <xdr:col>11</xdr:col>
      <xdr:colOff>654480</xdr:colOff>
      <xdr:row>57</xdr:row>
      <xdr:rowOff>1080</xdr:rowOff>
    </xdr:to>
    <xdr:graphicFrame>
      <xdr:nvGraphicFramePr>
        <xdr:cNvPr id="2" name="Chart 2"/>
        <xdr:cNvGraphicFramePr/>
      </xdr:nvGraphicFramePr>
      <xdr:xfrm>
        <a:off x="7189560" y="794124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60</xdr:row>
      <xdr:rowOff>0</xdr:rowOff>
    </xdr:from>
    <xdr:to>
      <xdr:col>7</xdr:col>
      <xdr:colOff>10080</xdr:colOff>
      <xdr:row>77</xdr:row>
      <xdr:rowOff>1440</xdr:rowOff>
    </xdr:to>
    <xdr:graphicFrame>
      <xdr:nvGraphicFramePr>
        <xdr:cNvPr id="3" name="Chart 3"/>
        <xdr:cNvGraphicFramePr/>
      </xdr:nvGraphicFramePr>
      <xdr:xfrm>
        <a:off x="0" y="11751480"/>
        <a:ext cx="719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c r="C1" s="1"/>
      <c r="D1" s="1"/>
      <c r="E1" s="1"/>
      <c r="F1" s="1"/>
      <c r="G1" s="1"/>
      <c r="H1" s="1"/>
    </row>
    <row r="3" customFormat="false" ht="15" hidden="false" customHeight="false" outlineLevel="0" collapsed="false">
      <c r="B3" s="2" t="s">
        <v>1</v>
      </c>
    </row>
    <row r="4" customFormat="false" ht="30.55" hidden="false" customHeight="false" outlineLevel="0" collapsed="false">
      <c r="B4" s="3" t="s">
        <v>2</v>
      </c>
    </row>
    <row r="6" customFormat="false" ht="15" hidden="false" customHeight="false" outlineLevel="0" collapsed="false">
      <c r="B6" s="2" t="s">
        <v>3</v>
      </c>
    </row>
    <row r="7" customFormat="false" ht="15" hidden="false" customHeight="false" outlineLevel="0" collapsed="false">
      <c r="B7" s="3" t="s">
        <v>4</v>
      </c>
    </row>
    <row r="8" customFormat="false" ht="15" hidden="false" customHeight="false" outlineLevel="0" collapsed="false">
      <c r="B8" s="3" t="s">
        <v>5</v>
      </c>
    </row>
    <row r="9" customFormat="false" ht="15" hidden="false" customHeight="false" outlineLevel="0" collapsed="false">
      <c r="B9" s="3" t="s">
        <v>6</v>
      </c>
    </row>
    <row r="10" customFormat="false" ht="20.85" hidden="false" customHeight="false" outlineLevel="0" collapsed="false">
      <c r="B10" s="3" t="s">
        <v>7</v>
      </c>
    </row>
    <row r="12" customFormat="false" ht="15" hidden="false" customHeight="false" outlineLevel="0" collapsed="false">
      <c r="B12" s="2" t="s">
        <v>8</v>
      </c>
    </row>
    <row r="13" customFormat="false" ht="15" hidden="false" customHeight="false" outlineLevel="0" collapsed="false">
      <c r="B13" s="3" t="s">
        <v>9</v>
      </c>
    </row>
    <row r="14" customFormat="false" ht="20.85" hidden="false" customHeight="false" outlineLevel="0" collapsed="false">
      <c r="B14" s="3" t="s">
        <v>10</v>
      </c>
    </row>
    <row r="15" customFormat="false" ht="20.85" hidden="false" customHeight="false" outlineLevel="0" collapsed="false">
      <c r="B15" s="3" t="s">
        <v>11</v>
      </c>
    </row>
    <row r="17" customFormat="false" ht="15" hidden="false" customHeight="false" outlineLevel="0" collapsed="false">
      <c r="B17" s="2" t="s">
        <v>12</v>
      </c>
    </row>
    <row r="18" customFormat="false" ht="40.25" hidden="false" customHeight="false" outlineLevel="0" collapsed="false">
      <c r="B18" s="3" t="s">
        <v>13</v>
      </c>
    </row>
    <row r="19" customFormat="false" ht="49.95" hidden="false" customHeight="false" outlineLevel="0" collapsed="false">
      <c r="B19" s="3" t="s">
        <v>14</v>
      </c>
    </row>
    <row r="20" customFormat="false" ht="30.55" hidden="false" customHeight="false" outlineLevel="0" collapsed="false">
      <c r="B20" s="3" t="s">
        <v>15</v>
      </c>
    </row>
    <row r="21" customFormat="false" ht="40.25" hidden="false" customHeight="false" outlineLevel="0" collapsed="false">
      <c r="B21" s="3" t="s">
        <v>16</v>
      </c>
    </row>
    <row r="22" customFormat="false" ht="15" hidden="false" customHeight="false" outlineLevel="0" collapsed="false">
      <c r="B22" s="3" t="s">
        <v>17</v>
      </c>
    </row>
    <row r="24" customFormat="false" ht="15" hidden="false" customHeight="false" outlineLevel="0" collapsed="false">
      <c r="B24" s="2" t="s">
        <v>18</v>
      </c>
    </row>
    <row r="25" customFormat="false" ht="15" hidden="false" customHeight="false" outlineLevel="0" collapsed="false">
      <c r="B25" s="3" t="s">
        <v>19</v>
      </c>
    </row>
    <row r="26" customFormat="false" ht="15" hidden="false" customHeight="false" outlineLevel="0" collapsed="false">
      <c r="B26" s="3" t="s">
        <v>20</v>
      </c>
    </row>
    <row r="27" customFormat="false" ht="15" hidden="false" customHeight="false" outlineLevel="0" collapsed="false">
      <c r="B27" s="3" t="s">
        <v>21</v>
      </c>
    </row>
    <row r="28" customFormat="false" ht="15" hidden="false" customHeight="false" outlineLevel="0" collapsed="false">
      <c r="B28" s="3" t="s">
        <v>22</v>
      </c>
    </row>
    <row r="29" customFormat="false" ht="15" hidden="false" customHeight="false" outlineLevel="0" collapsed="false">
      <c r="B29" s="3" t="s">
        <v>23</v>
      </c>
    </row>
    <row r="31" customFormat="false" ht="15" hidden="false" customHeight="false" outlineLevel="0" collapsed="false">
      <c r="B31" s="4" t="s">
        <v>24</v>
      </c>
    </row>
  </sheetData>
  <mergeCells count="1">
    <mergeCell ref="A1:H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5" min="3" style="0" width="12"/>
    <col collapsed="false" customWidth="true" hidden="false" outlineLevel="0" max="6" min="6" style="0" width="62"/>
  </cols>
  <sheetData>
    <row r="1" customFormat="false" ht="21.75" hidden="false" customHeight="true" outlineLevel="0" collapsed="false">
      <c r="A1" s="5" t="s">
        <v>25</v>
      </c>
      <c r="B1" s="5"/>
      <c r="C1" s="5"/>
      <c r="D1" s="5"/>
      <c r="E1" s="5"/>
      <c r="F1" s="5"/>
    </row>
    <row r="2" customFormat="false" ht="15" hidden="false" customHeight="true" outlineLevel="0" collapsed="false">
      <c r="A2" s="6" t="s">
        <v>26</v>
      </c>
      <c r="B2" s="6"/>
      <c r="C2" s="6"/>
      <c r="D2" s="6"/>
      <c r="E2" s="6"/>
      <c r="F2" s="6"/>
    </row>
    <row r="4" customFormat="false" ht="18" hidden="false" customHeight="true" outlineLevel="0" collapsed="false">
      <c r="A4" s="7" t="s">
        <v>27</v>
      </c>
      <c r="B4" s="8" t="s">
        <v>28</v>
      </c>
      <c r="C4" s="8" t="s">
        <v>29</v>
      </c>
      <c r="D4" s="8" t="s">
        <v>30</v>
      </c>
      <c r="E4" s="8" t="s">
        <v>31</v>
      </c>
      <c r="F4" s="8" t="s">
        <v>32</v>
      </c>
    </row>
    <row r="5" customFormat="false" ht="27.75" hidden="false" customHeight="true" outlineLevel="0" collapsed="false">
      <c r="A5" s="9" t="s">
        <v>33</v>
      </c>
      <c r="B5" s="10" t="n">
        <f aca="false">'Income Statement'!F7</f>
        <v>0.0091479673462691</v>
      </c>
      <c r="C5" s="11" t="n">
        <v>0.09</v>
      </c>
      <c r="D5" s="11" t="n">
        <v>0.08</v>
      </c>
      <c r="E5" s="11" t="n">
        <v>0.075</v>
      </c>
      <c r="F5" s="12" t="s">
        <v>34</v>
      </c>
    </row>
    <row r="6" customFormat="false" ht="27.75" hidden="false" customHeight="true" outlineLevel="0" collapsed="false">
      <c r="A6" s="9" t="s">
        <v>35</v>
      </c>
      <c r="B6" s="10" t="n">
        <f aca="false">'Income Statement'!F10</f>
        <v>0.300813008130081</v>
      </c>
      <c r="C6" s="11" t="n">
        <v>0.305</v>
      </c>
      <c r="D6" s="11" t="n">
        <v>0.31</v>
      </c>
      <c r="E6" s="11" t="n">
        <v>0.315</v>
      </c>
      <c r="F6" s="12" t="s">
        <v>36</v>
      </c>
    </row>
    <row r="7" customFormat="false" ht="27.75" hidden="false" customHeight="true" outlineLevel="0" collapsed="false">
      <c r="A7" s="9" t="s">
        <v>37</v>
      </c>
      <c r="B7" s="10" t="n">
        <f aca="false">'Income Statement'!F13</f>
        <v>0.95</v>
      </c>
      <c r="C7" s="11" t="n">
        <v>0.955</v>
      </c>
      <c r="D7" s="11" t="n">
        <v>0.955</v>
      </c>
      <c r="E7" s="11" t="n">
        <v>0.955</v>
      </c>
      <c r="F7" s="12" t="s">
        <v>38</v>
      </c>
    </row>
    <row r="8" customFormat="false" ht="27.75" hidden="false" customHeight="true" outlineLevel="0" collapsed="false">
      <c r="A8" s="9" t="s">
        <v>39</v>
      </c>
      <c r="B8" s="10" t="n">
        <f aca="false">'Income Statement'!F18</f>
        <v>0.244167852062589</v>
      </c>
      <c r="C8" s="11" t="n">
        <v>0.25</v>
      </c>
      <c r="D8" s="11" t="n">
        <v>0.255</v>
      </c>
      <c r="E8" s="11" t="n">
        <v>0.26</v>
      </c>
      <c r="F8" s="12" t="s">
        <v>40</v>
      </c>
    </row>
    <row r="9" customFormat="false" ht="27.75" hidden="false" customHeight="true" outlineLevel="0" collapsed="false">
      <c r="A9" s="9" t="s">
        <v>41</v>
      </c>
      <c r="B9" s="10" t="n">
        <f aca="false">'Income Statement'!F46</f>
        <v>0.0183536585365854</v>
      </c>
      <c r="C9" s="11" t="n">
        <v>0.0175</v>
      </c>
      <c r="D9" s="11" t="n">
        <v>0.02</v>
      </c>
      <c r="E9" s="11" t="n">
        <v>0.0225</v>
      </c>
      <c r="F9" s="12" t="s">
        <v>42</v>
      </c>
    </row>
    <row r="10" customFormat="false" ht="27.75" hidden="false" customHeight="true" outlineLevel="0" collapsed="false">
      <c r="A10" s="9" t="s">
        <v>43</v>
      </c>
      <c r="B10" s="10" t="n">
        <f aca="false">'Income Statement'!F48/'Income Statement'!F8</f>
        <v>0.0546824324324324</v>
      </c>
      <c r="C10" s="11" t="n">
        <v>0.052</v>
      </c>
      <c r="D10" s="11" t="n">
        <v>0.05</v>
      </c>
      <c r="E10" s="11" t="n">
        <v>0.048</v>
      </c>
      <c r="F10" s="12" t="s">
        <v>44</v>
      </c>
    </row>
    <row r="11" customFormat="false" ht="27.75" hidden="false" customHeight="true" outlineLevel="0" collapsed="false">
      <c r="A11" s="9" t="s">
        <v>45</v>
      </c>
      <c r="B11" s="10" t="n">
        <f aca="false">-'Income Statement'!E29/'Income Statement'!E11</f>
        <v>0.0198947513969434</v>
      </c>
      <c r="C11" s="11" t="n">
        <v>0.016</v>
      </c>
      <c r="D11" s="11" t="n">
        <v>0.014</v>
      </c>
      <c r="E11" s="11" t="n">
        <v>0.012</v>
      </c>
      <c r="F11" s="12" t="s">
        <v>46</v>
      </c>
    </row>
    <row r="12" customFormat="false" ht="27.75" hidden="false" customHeight="true" outlineLevel="0" collapsed="false">
      <c r="A12" s="9" t="s">
        <v>47</v>
      </c>
      <c r="B12" s="13" t="s">
        <v>48</v>
      </c>
      <c r="C12" s="14" t="n">
        <v>0</v>
      </c>
      <c r="D12" s="14" t="n">
        <v>0</v>
      </c>
      <c r="E12" s="14" t="n">
        <v>0</v>
      </c>
      <c r="F12" s="12" t="s">
        <v>49</v>
      </c>
    </row>
    <row r="13" customFormat="false" ht="27.75" hidden="false" customHeight="true" outlineLevel="0" collapsed="false">
      <c r="A13" s="9" t="s">
        <v>50</v>
      </c>
      <c r="B13" s="15" t="s">
        <v>48</v>
      </c>
      <c r="C13" s="11" t="n">
        <v>0.25</v>
      </c>
      <c r="D13" s="11" t="n">
        <v>0.25</v>
      </c>
      <c r="E13" s="11" t="n">
        <v>0.25</v>
      </c>
      <c r="F13" s="12" t="s">
        <v>51</v>
      </c>
    </row>
    <row r="14" customFormat="false" ht="27.75" hidden="false" customHeight="true" outlineLevel="0" collapsed="false">
      <c r="A14" s="9" t="s">
        <v>52</v>
      </c>
      <c r="B14" s="15" t="s">
        <v>48</v>
      </c>
      <c r="C14" s="11" t="n">
        <v>0</v>
      </c>
      <c r="D14" s="11" t="n">
        <v>0</v>
      </c>
      <c r="E14" s="11" t="n">
        <v>0</v>
      </c>
      <c r="F14" s="12" t="s">
        <v>53</v>
      </c>
    </row>
    <row r="15" customFormat="false" ht="27.75" hidden="false" customHeight="true" outlineLevel="0" collapsed="false">
      <c r="A15" s="9" t="s">
        <v>54</v>
      </c>
      <c r="B15" s="15" t="s">
        <v>48</v>
      </c>
      <c r="C15" s="11" t="n">
        <v>0.04</v>
      </c>
      <c r="D15" s="11" t="n">
        <v>0.04</v>
      </c>
      <c r="E15" s="11" t="n">
        <v>0.04</v>
      </c>
      <c r="F15" s="12" t="s">
        <v>55</v>
      </c>
    </row>
    <row r="16" customFormat="false" ht="27.75" hidden="false" customHeight="true" outlineLevel="0" collapsed="false">
      <c r="A16" s="9" t="s">
        <v>56</v>
      </c>
      <c r="B16" s="16" t="n">
        <f aca="false">'Income Statement'!F49</f>
        <v>200</v>
      </c>
      <c r="C16" s="14" t="n">
        <v>260</v>
      </c>
      <c r="D16" s="14" t="n">
        <v>400</v>
      </c>
      <c r="E16" s="14" t="n">
        <v>550</v>
      </c>
      <c r="F16" s="12" t="s">
        <v>57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9" min="2" style="0" width="13"/>
  </cols>
  <sheetData>
    <row r="1" customFormat="false" ht="21.75" hidden="false" customHeight="true" outlineLevel="0" collapsed="false">
      <c r="A1" s="5" t="s">
        <v>58</v>
      </c>
      <c r="B1" s="5"/>
      <c r="C1" s="5"/>
      <c r="D1" s="5"/>
      <c r="E1" s="5"/>
      <c r="F1" s="5"/>
      <c r="G1" s="5"/>
      <c r="H1" s="5"/>
      <c r="I1" s="5"/>
    </row>
    <row r="2" customFormat="false" ht="15" hidden="false" customHeight="true" outlineLevel="0" collapsed="false">
      <c r="A2" s="6" t="s">
        <v>59</v>
      </c>
      <c r="B2" s="6"/>
      <c r="C2" s="6"/>
      <c r="D2" s="6"/>
      <c r="E2" s="6"/>
      <c r="F2" s="6"/>
      <c r="G2" s="6"/>
      <c r="H2" s="6"/>
      <c r="I2" s="6"/>
    </row>
    <row r="4" customFormat="false" ht="18" hidden="false" customHeight="true" outlineLevel="0" collapsed="false">
      <c r="A4" s="17" t="s">
        <v>60</v>
      </c>
      <c r="B4" s="8" t="s">
        <v>61</v>
      </c>
      <c r="C4" s="8" t="s">
        <v>62</v>
      </c>
      <c r="D4" s="8" t="s">
        <v>63</v>
      </c>
      <c r="E4" s="8" t="s">
        <v>64</v>
      </c>
      <c r="F4" s="8" t="s">
        <v>65</v>
      </c>
      <c r="G4" s="8" t="s">
        <v>29</v>
      </c>
      <c r="H4" s="8" t="s">
        <v>30</v>
      </c>
      <c r="I4" s="8" t="s">
        <v>31</v>
      </c>
    </row>
    <row r="5" customFormat="false" ht="15" hidden="false" customHeight="false" outlineLevel="0" collapsed="false">
      <c r="A5" s="18" t="s">
        <v>66</v>
      </c>
      <c r="B5" s="18"/>
      <c r="C5" s="18"/>
      <c r="D5" s="18"/>
      <c r="E5" s="18"/>
      <c r="F5" s="18"/>
      <c r="G5" s="18"/>
      <c r="H5" s="18"/>
      <c r="I5" s="18"/>
    </row>
    <row r="6" customFormat="false" ht="15" hidden="false" customHeight="false" outlineLevel="0" collapsed="false">
      <c r="A6" s="19" t="s">
        <v>67</v>
      </c>
      <c r="D6" s="20" t="n">
        <v>45275.2</v>
      </c>
      <c r="E6" s="20" t="n">
        <v>48754</v>
      </c>
      <c r="F6" s="20" t="n">
        <v>49200</v>
      </c>
      <c r="G6" s="21" t="n">
        <f aca="false">F6*(1+Assumptions!C5)</f>
        <v>53628</v>
      </c>
      <c r="H6" s="21" t="n">
        <f aca="false">G6*(1+Assumptions!D5)</f>
        <v>57918.24</v>
      </c>
      <c r="I6" s="21" t="n">
        <f aca="false">H6*(1+Assumptions!E5)</f>
        <v>62262.108</v>
      </c>
    </row>
    <row r="7" customFormat="false" ht="15" hidden="false" customHeight="false" outlineLevel="0" collapsed="false">
      <c r="A7" s="22" t="s">
        <v>68</v>
      </c>
      <c r="E7" s="23" t="n">
        <f aca="false">E6/D6-1</f>
        <v>0.0768367671484611</v>
      </c>
      <c r="F7" s="23" t="n">
        <f aca="false">F6/E6-1</f>
        <v>0.0091479673462691</v>
      </c>
      <c r="G7" s="24" t="n">
        <f aca="false">G6/F6-1</f>
        <v>0.0900000000000001</v>
      </c>
      <c r="H7" s="24" t="n">
        <f aca="false">H6/G6-1</f>
        <v>0.0800000000000001</v>
      </c>
      <c r="I7" s="24" t="n">
        <f aca="false">I6/H6-1</f>
        <v>0.075</v>
      </c>
    </row>
    <row r="8" customFormat="false" ht="15" hidden="false" customHeight="false" outlineLevel="0" collapsed="false">
      <c r="A8" s="25" t="s">
        <v>69</v>
      </c>
      <c r="D8" s="26" t="n">
        <v>10463.2</v>
      </c>
      <c r="E8" s="26" t="n">
        <v>12796.4</v>
      </c>
      <c r="F8" s="26" t="n">
        <v>14800</v>
      </c>
      <c r="G8" s="27" t="n">
        <f aca="false">G6*Assumptions!C6</f>
        <v>16356.54</v>
      </c>
      <c r="H8" s="27" t="n">
        <f aca="false">H6*Assumptions!D6</f>
        <v>17954.6544</v>
      </c>
      <c r="I8" s="27" t="n">
        <f aca="false">I6*Assumptions!E6</f>
        <v>19612.56402</v>
      </c>
    </row>
    <row r="9" customFormat="false" ht="15" hidden="false" customHeight="false" outlineLevel="0" collapsed="false">
      <c r="A9" s="22" t="s">
        <v>68</v>
      </c>
      <c r="E9" s="23" t="n">
        <f aca="false">E8/D8-1</f>
        <v>0.222991054361954</v>
      </c>
      <c r="F9" s="23" t="n">
        <f aca="false">F8/E8-1</f>
        <v>0.156575286799412</v>
      </c>
      <c r="G9" s="24" t="n">
        <f aca="false">G8/F8-1</f>
        <v>0.105171621621622</v>
      </c>
      <c r="H9" s="24" t="n">
        <f aca="false">H8/G8-1</f>
        <v>0.0977049180327869</v>
      </c>
      <c r="I9" s="24" t="n">
        <f aca="false">I8/H8-1</f>
        <v>0.0923387096774193</v>
      </c>
    </row>
    <row r="10" customFormat="false" ht="15" hidden="false" customHeight="false" outlineLevel="0" collapsed="false">
      <c r="A10" s="22" t="s">
        <v>70</v>
      </c>
      <c r="D10" s="23" t="n">
        <f aca="false">D8/D6</f>
        <v>0.231102236986253</v>
      </c>
      <c r="E10" s="23" t="n">
        <f aca="false">E8/E6</f>
        <v>0.26246872051524</v>
      </c>
      <c r="F10" s="23" t="n">
        <f aca="false">F8/F6</f>
        <v>0.300813008130081</v>
      </c>
      <c r="G10" s="24" t="n">
        <f aca="false">G8/G6</f>
        <v>0.305</v>
      </c>
      <c r="H10" s="24" t="n">
        <f aca="false">H8/H6</f>
        <v>0.31</v>
      </c>
      <c r="I10" s="24" t="n">
        <f aca="false">I8/I6</f>
        <v>0.315</v>
      </c>
    </row>
    <row r="11" customFormat="false" ht="15" hidden="false" customHeight="false" outlineLevel="0" collapsed="false">
      <c r="A11" s="19" t="s">
        <v>71</v>
      </c>
      <c r="B11" s="20" t="n">
        <v>5856</v>
      </c>
      <c r="C11" s="20" t="n">
        <v>8577</v>
      </c>
      <c r="D11" s="20" t="n">
        <v>9941.9</v>
      </c>
      <c r="E11" s="20" t="n">
        <v>12294.7</v>
      </c>
      <c r="F11" s="20" t="n">
        <v>14060</v>
      </c>
      <c r="G11" s="21" t="n">
        <f aca="false">G8*Assumptions!C7</f>
        <v>15620.4957</v>
      </c>
      <c r="H11" s="21" t="n">
        <f aca="false">H8*Assumptions!D7</f>
        <v>17146.694952</v>
      </c>
      <c r="I11" s="21" t="n">
        <f aca="false">I8*Assumptions!E7</f>
        <v>18729.9986391</v>
      </c>
    </row>
    <row r="12" customFormat="false" ht="15" hidden="false" customHeight="false" outlineLevel="0" collapsed="false">
      <c r="A12" s="22" t="s">
        <v>68</v>
      </c>
      <c r="C12" s="23" t="n">
        <f aca="false">C11/B11-1</f>
        <v>0.464651639344262</v>
      </c>
      <c r="D12" s="23" t="n">
        <f aca="false">D11/C11-1</f>
        <v>0.15913489565116</v>
      </c>
      <c r="E12" s="23" t="n">
        <f aca="false">E11/D11-1</f>
        <v>0.236654965348676</v>
      </c>
      <c r="F12" s="23" t="n">
        <f aca="false">F11/E11-1</f>
        <v>0.143582193953492</v>
      </c>
      <c r="G12" s="24" t="n">
        <f aca="false">G11/F11-1</f>
        <v>0.110988314366999</v>
      </c>
      <c r="H12" s="24" t="n">
        <f aca="false">H11/G11-1</f>
        <v>0.0977049180327869</v>
      </c>
      <c r="I12" s="24" t="n">
        <f aca="false">I11/H11-1</f>
        <v>0.0923387096774193</v>
      </c>
    </row>
    <row r="13" customFormat="false" ht="15" hidden="false" customHeight="false" outlineLevel="0" collapsed="false">
      <c r="A13" s="22" t="s">
        <v>72</v>
      </c>
      <c r="D13" s="23" t="n">
        <f aca="false">D11/D8</f>
        <v>0.950177765884242</v>
      </c>
      <c r="E13" s="23" t="n">
        <f aca="false">E11/E8</f>
        <v>0.960793660717077</v>
      </c>
      <c r="F13" s="23" t="n">
        <f aca="false">F11/F8</f>
        <v>0.95</v>
      </c>
      <c r="G13" s="24" t="n">
        <f aca="false">G11/G8</f>
        <v>0.955</v>
      </c>
      <c r="H13" s="24" t="n">
        <f aca="false">H11/H8</f>
        <v>0.955</v>
      </c>
      <c r="I13" s="24" t="n">
        <f aca="false">I11/I8</f>
        <v>0.955</v>
      </c>
    </row>
    <row r="15" customFormat="false" ht="15" hidden="false" customHeight="false" outlineLevel="0" collapsed="false">
      <c r="A15" s="18" t="s">
        <v>73</v>
      </c>
      <c r="B15" s="18"/>
      <c r="C15" s="18"/>
      <c r="D15" s="18"/>
      <c r="E15" s="18"/>
      <c r="F15" s="18"/>
      <c r="G15" s="18"/>
      <c r="H15" s="18"/>
      <c r="I15" s="18"/>
    </row>
    <row r="16" customFormat="false" ht="15" hidden="false" customHeight="false" outlineLevel="0" collapsed="false">
      <c r="A16" s="25" t="s">
        <v>74</v>
      </c>
      <c r="D16" s="26" t="n">
        <v>-6969.2</v>
      </c>
      <c r="E16" s="26" t="n">
        <v>-8965.5</v>
      </c>
      <c r="G16" s="28" t="n">
        <f aca="false">G17-G11</f>
        <v>-11715.371775</v>
      </c>
      <c r="H16" s="28" t="n">
        <f aca="false">H17-H11</f>
        <v>-12774.28773924</v>
      </c>
      <c r="I16" s="28" t="n">
        <f aca="false">I17-I11</f>
        <v>-13860.198992934</v>
      </c>
    </row>
    <row r="17" customFormat="false" ht="15" hidden="false" customHeight="false" outlineLevel="0" collapsed="false">
      <c r="A17" s="19" t="s">
        <v>75</v>
      </c>
      <c r="B17" s="20" t="n">
        <v>1258</v>
      </c>
      <c r="C17" s="20" t="n">
        <v>2232</v>
      </c>
      <c r="D17" s="29" t="n">
        <f aca="false">D11+D16</f>
        <v>2972.7</v>
      </c>
      <c r="E17" s="29" t="n">
        <f aca="false">E11+E16</f>
        <v>3329.2</v>
      </c>
      <c r="F17" s="20" t="n">
        <v>3433</v>
      </c>
      <c r="G17" s="21" t="n">
        <f aca="false">G11*Assumptions!C8</f>
        <v>3905.123925</v>
      </c>
      <c r="H17" s="21" t="n">
        <f aca="false">H11*Assumptions!D8</f>
        <v>4372.40721276</v>
      </c>
      <c r="I17" s="21" t="n">
        <f aca="false">I11*Assumptions!E8</f>
        <v>4869.799646166</v>
      </c>
    </row>
    <row r="18" customFormat="false" ht="15" hidden="false" customHeight="false" outlineLevel="0" collapsed="false">
      <c r="A18" s="22" t="s">
        <v>76</v>
      </c>
      <c r="B18" s="23" t="n">
        <f aca="false">B17/B11</f>
        <v>0.214822404371585</v>
      </c>
      <c r="C18" s="23" t="n">
        <f aca="false">C17/C11</f>
        <v>0.260230849947534</v>
      </c>
      <c r="D18" s="23" t="n">
        <f aca="false">D17/D11</f>
        <v>0.299007232018025</v>
      </c>
      <c r="E18" s="23" t="n">
        <f aca="false">E17/E11</f>
        <v>0.270783345669272</v>
      </c>
      <c r="F18" s="23" t="n">
        <f aca="false">F17/F11</f>
        <v>0.244167852062589</v>
      </c>
      <c r="G18" s="24" t="n">
        <f aca="false">G17/G11</f>
        <v>0.25</v>
      </c>
      <c r="H18" s="24" t="n">
        <f aca="false">H17/H11</f>
        <v>0.255</v>
      </c>
      <c r="I18" s="24" t="n">
        <f aca="false">I17/I11</f>
        <v>0.26</v>
      </c>
    </row>
    <row r="19" customFormat="false" ht="15" hidden="false" customHeight="false" outlineLevel="0" collapsed="false">
      <c r="A19" s="25" t="s">
        <v>77</v>
      </c>
      <c r="D19" s="26" t="n">
        <v>-1458.2</v>
      </c>
      <c r="E19" s="26" t="n">
        <v>-1450.8</v>
      </c>
    </row>
    <row r="20" customFormat="false" ht="15" hidden="false" customHeight="false" outlineLevel="0" collapsed="false">
      <c r="A20" s="25" t="s">
        <v>78</v>
      </c>
      <c r="D20" s="26" t="n">
        <v>-587.6</v>
      </c>
      <c r="E20" s="26" t="n">
        <v>-531.8</v>
      </c>
    </row>
    <row r="21" customFormat="false" ht="15" hidden="false" customHeight="false" outlineLevel="0" collapsed="false">
      <c r="A21" s="25" t="s">
        <v>79</v>
      </c>
      <c r="D21" s="26" t="n">
        <v>-1744.2</v>
      </c>
      <c r="E21" s="26" t="n">
        <v>-1806.9</v>
      </c>
    </row>
    <row r="22" customFormat="false" ht="15" hidden="false" customHeight="false" outlineLevel="0" collapsed="false">
      <c r="A22" s="25" t="s">
        <v>80</v>
      </c>
      <c r="D22" s="26" t="n">
        <v>76.5</v>
      </c>
      <c r="E22" s="26" t="n">
        <v>252.3</v>
      </c>
    </row>
    <row r="23" customFormat="false" ht="15" hidden="false" customHeight="false" outlineLevel="0" collapsed="false">
      <c r="A23" s="25" t="s">
        <v>81</v>
      </c>
      <c r="D23" s="26" t="n">
        <v>-885.3</v>
      </c>
      <c r="E23" s="26" t="n">
        <v>-103.1</v>
      </c>
    </row>
    <row r="24" customFormat="false" ht="15" hidden="false" customHeight="false" outlineLevel="0" collapsed="false">
      <c r="A24" s="25" t="s">
        <v>82</v>
      </c>
      <c r="D24" s="26" t="n">
        <v>-30.9</v>
      </c>
      <c r="E24" s="26" t="n">
        <v>-30.1</v>
      </c>
    </row>
    <row r="25" customFormat="false" ht="15" hidden="false" customHeight="false" outlineLevel="0" collapsed="false">
      <c r="A25" s="19" t="s">
        <v>83</v>
      </c>
      <c r="B25" s="30" t="n">
        <v>-1659</v>
      </c>
      <c r="C25" s="30" t="n">
        <v>-1437</v>
      </c>
      <c r="D25" s="31" t="n">
        <f aca="false">D17+D19+D20+D21+D22+D23+D24</f>
        <v>-1657</v>
      </c>
      <c r="E25" s="31" t="n">
        <f aca="false">E17+E19+E20+E21+E22+E23+E24</f>
        <v>-341.199999999999</v>
      </c>
      <c r="F25" s="30" t="n">
        <v>93.7</v>
      </c>
      <c r="G25" s="32" t="n">
        <f aca="false">G44-G48</f>
        <v>87.9499200000001</v>
      </c>
      <c r="H25" s="32" t="n">
        <f aca="false">H44-H48</f>
        <v>260.63208</v>
      </c>
      <c r="I25" s="32" t="n">
        <f aca="false">I44-I48</f>
        <v>459.49435704</v>
      </c>
    </row>
    <row r="26" customFormat="false" ht="15" hidden="false" customHeight="false" outlineLevel="0" collapsed="false">
      <c r="A26" s="22" t="s">
        <v>84</v>
      </c>
      <c r="B26" s="23" t="n">
        <f aca="false">B25/B11</f>
        <v>-0.283299180327869</v>
      </c>
      <c r="C26" s="23" t="n">
        <f aca="false">C25/C11</f>
        <v>-0.167541098286114</v>
      </c>
      <c r="D26" s="23" t="n">
        <f aca="false">D25/D11</f>
        <v>-0.166668343073256</v>
      </c>
      <c r="E26" s="23" t="n">
        <f aca="false">E25/E11</f>
        <v>-0.0277517954891131</v>
      </c>
      <c r="F26" s="23" t="n">
        <f aca="false">F25/F11</f>
        <v>0.00666429587482219</v>
      </c>
      <c r="G26" s="24" t="n">
        <f aca="false">G25/G11</f>
        <v>0.00563041798987212</v>
      </c>
      <c r="H26" s="24" t="n">
        <f aca="false">H25/H11</f>
        <v>0.0152001351123121</v>
      </c>
      <c r="I26" s="24" t="n">
        <f aca="false">I25/I11</f>
        <v>0.0245325355272999</v>
      </c>
    </row>
    <row r="28" customFormat="false" ht="15" hidden="false" customHeight="false" outlineLevel="0" collapsed="false">
      <c r="A28" s="18" t="s">
        <v>85</v>
      </c>
      <c r="B28" s="18"/>
      <c r="C28" s="18"/>
      <c r="D28" s="18"/>
      <c r="E28" s="18"/>
      <c r="F28" s="18"/>
      <c r="G28" s="18"/>
      <c r="H28" s="18"/>
      <c r="I28" s="18"/>
    </row>
    <row r="29" customFormat="false" ht="15" hidden="false" customHeight="false" outlineLevel="0" collapsed="false">
      <c r="A29" s="25" t="s">
        <v>86</v>
      </c>
      <c r="D29" s="26" t="n">
        <v>-232.2</v>
      </c>
      <c r="E29" s="26" t="n">
        <v>-244.6</v>
      </c>
      <c r="G29" s="27" t="n">
        <f aca="false">-G11*Assumptions!C11</f>
        <v>-249.9279312</v>
      </c>
      <c r="H29" s="27" t="n">
        <f aca="false">-H11*Assumptions!D11</f>
        <v>-240.053729328</v>
      </c>
      <c r="I29" s="27" t="n">
        <f aca="false">-I11*Assumptions!E11</f>
        <v>-224.7599836692</v>
      </c>
    </row>
    <row r="30" customFormat="false" ht="15" hidden="false" customHeight="false" outlineLevel="0" collapsed="false">
      <c r="A30" s="25" t="s">
        <v>87</v>
      </c>
      <c r="D30" s="26" t="n">
        <v>-266.1</v>
      </c>
      <c r="E30" s="26" t="n">
        <v>44.8</v>
      </c>
      <c r="G30" s="27" t="n">
        <f aca="false">Assumptions!C12</f>
        <v>0</v>
      </c>
      <c r="H30" s="27" t="n">
        <f aca="false">Assumptions!D12</f>
        <v>0</v>
      </c>
      <c r="I30" s="27" t="n">
        <f aca="false">Assumptions!E12</f>
        <v>0</v>
      </c>
    </row>
    <row r="31" customFormat="false" ht="15" hidden="false" customHeight="false" outlineLevel="0" collapsed="false">
      <c r="A31" s="25" t="s">
        <v>88</v>
      </c>
      <c r="D31" s="26" t="n">
        <v>-7.4</v>
      </c>
      <c r="E31" s="26" t="n">
        <v>-1.3</v>
      </c>
      <c r="G31" s="33" t="n">
        <v>0</v>
      </c>
      <c r="H31" s="33" t="n">
        <v>0</v>
      </c>
      <c r="I31" s="33" t="n">
        <v>0</v>
      </c>
    </row>
    <row r="32" customFormat="false" ht="15" hidden="false" customHeight="false" outlineLevel="0" collapsed="false">
      <c r="A32" s="19" t="s">
        <v>89</v>
      </c>
      <c r="D32" s="31" t="n">
        <f aca="false">D25+D29+D30+D31</f>
        <v>-2162.7</v>
      </c>
      <c r="E32" s="31" t="n">
        <f aca="false">E25+E29+E30+E31</f>
        <v>-542.299999999999</v>
      </c>
      <c r="G32" s="32" t="n">
        <f aca="false">G25+G29+G30+G31</f>
        <v>-161.9780112</v>
      </c>
      <c r="H32" s="32" t="n">
        <f aca="false">H25+H29+H30+H31</f>
        <v>20.5783506720001</v>
      </c>
      <c r="I32" s="32" t="n">
        <f aca="false">I25+I29+I30+I31</f>
        <v>234.7343733708</v>
      </c>
    </row>
    <row r="33" customFormat="false" ht="15" hidden="false" customHeight="false" outlineLevel="0" collapsed="false">
      <c r="A33" s="25" t="s">
        <v>90</v>
      </c>
      <c r="D33" s="26" t="n">
        <v>-142.1</v>
      </c>
      <c r="E33" s="26" t="n">
        <v>-339.3</v>
      </c>
      <c r="G33" s="27" t="n">
        <f aca="false">IF(G32&gt;0,-G32*Assumptions!C13,0)</f>
        <v>0</v>
      </c>
      <c r="H33" s="27" t="n">
        <f aca="false">IF(H32&gt;0,-H32*Assumptions!D13,0)</f>
        <v>-5.14458766800001</v>
      </c>
      <c r="I33" s="27" t="n">
        <f aca="false">IF(I32&gt;0,-I32*Assumptions!E13,0)</f>
        <v>-58.6835933427</v>
      </c>
    </row>
    <row r="34" customFormat="false" ht="15" hidden="false" customHeight="false" outlineLevel="0" collapsed="false">
      <c r="A34" s="25" t="s">
        <v>91</v>
      </c>
      <c r="D34" s="34" t="n">
        <f aca="false">D32+D33</f>
        <v>-2304.8</v>
      </c>
      <c r="E34" s="34" t="n">
        <f aca="false">E32+E33</f>
        <v>-881.599999999999</v>
      </c>
      <c r="G34" s="28" t="n">
        <f aca="false">G32+G33</f>
        <v>-161.9780112</v>
      </c>
      <c r="H34" s="28" t="n">
        <f aca="false">H32+H33</f>
        <v>15.433763004</v>
      </c>
      <c r="I34" s="28" t="n">
        <f aca="false">I32+I33</f>
        <v>176.0507800281</v>
      </c>
    </row>
    <row r="35" customFormat="false" ht="15" hidden="false" customHeight="false" outlineLevel="0" collapsed="false">
      <c r="A35" s="25" t="s">
        <v>92</v>
      </c>
      <c r="D35" s="26" t="n">
        <v>-7.2</v>
      </c>
      <c r="E35" s="26" t="n">
        <v>0.8</v>
      </c>
      <c r="G35" s="27" t="n">
        <f aca="false">G34*Assumptions!C14</f>
        <v>-0</v>
      </c>
      <c r="H35" s="27" t="n">
        <f aca="false">H34*Assumptions!D14</f>
        <v>0</v>
      </c>
      <c r="I35" s="27" t="n">
        <f aca="false">I34*Assumptions!E14</f>
        <v>0</v>
      </c>
    </row>
    <row r="36" customFormat="false" ht="15" hidden="false" customHeight="false" outlineLevel="0" collapsed="false">
      <c r="A36" s="19" t="s">
        <v>93</v>
      </c>
      <c r="B36" s="30" t="n">
        <v>-1124</v>
      </c>
      <c r="C36" s="30" t="n">
        <v>-3008</v>
      </c>
      <c r="D36" s="31" t="n">
        <f aca="false">D34-D35</f>
        <v>-2297.6</v>
      </c>
      <c r="E36" s="31" t="n">
        <f aca="false">E34-E35</f>
        <v>-882.399999999999</v>
      </c>
      <c r="F36" s="30" t="n">
        <v>-782.9</v>
      </c>
      <c r="G36" s="32" t="n">
        <f aca="false">G34-G35</f>
        <v>-161.9780112</v>
      </c>
      <c r="H36" s="32" t="n">
        <f aca="false">H34-H35</f>
        <v>15.433763004</v>
      </c>
      <c r="I36" s="32" t="n">
        <f aca="false">I34-I35</f>
        <v>176.0507800281</v>
      </c>
    </row>
    <row r="37" customFormat="false" ht="15" hidden="false" customHeight="false" outlineLevel="0" collapsed="false">
      <c r="A37" s="22" t="s">
        <v>94</v>
      </c>
      <c r="B37" s="23" t="n">
        <f aca="false">B36/B11</f>
        <v>-0.191939890710383</v>
      </c>
      <c r="C37" s="23" t="n">
        <f aca="false">C36/C11</f>
        <v>-0.350705374839688</v>
      </c>
      <c r="D37" s="23" t="n">
        <f aca="false">D36/D11</f>
        <v>-0.231102706726079</v>
      </c>
      <c r="E37" s="23" t="n">
        <f aca="false">E36/E11</f>
        <v>-0.0717707630117042</v>
      </c>
      <c r="F37" s="23" t="n">
        <f aca="false">F36/F11</f>
        <v>-0.0556827880512091</v>
      </c>
      <c r="G37" s="24" t="n">
        <f aca="false">G36/G11</f>
        <v>-0.0103695820101279</v>
      </c>
      <c r="H37" s="24" t="n">
        <f aca="false">H36/H11</f>
        <v>0.000900101334234085</v>
      </c>
      <c r="I37" s="24" t="n">
        <f aca="false">I36/I11</f>
        <v>0.00939940164547494</v>
      </c>
    </row>
    <row r="39" customFormat="false" ht="15" hidden="false" customHeight="false" outlineLevel="0" collapsed="false">
      <c r="A39" s="18" t="s">
        <v>95</v>
      </c>
      <c r="B39" s="18"/>
      <c r="C39" s="18"/>
      <c r="D39" s="18"/>
      <c r="E39" s="18"/>
      <c r="F39" s="18"/>
      <c r="G39" s="18"/>
      <c r="H39" s="18"/>
      <c r="I39" s="18"/>
    </row>
    <row r="40" customFormat="false" ht="15" hidden="false" customHeight="false" outlineLevel="0" collapsed="false">
      <c r="A40" s="19" t="s">
        <v>96</v>
      </c>
      <c r="B40" s="35" t="n">
        <v>-4.57</v>
      </c>
      <c r="C40" s="35" t="n">
        <v>-11.28</v>
      </c>
      <c r="D40" s="35" t="n">
        <v>-8.57</v>
      </c>
      <c r="E40" s="35" t="n">
        <v>-3.1</v>
      </c>
      <c r="F40" s="35" t="n">
        <v>-2.62</v>
      </c>
      <c r="G40" s="36" t="n">
        <f aca="false">G36/G41</f>
        <v>-0.521215978737828</v>
      </c>
      <c r="H40" s="36" t="n">
        <f aca="false">H36/H41</f>
        <v>0.0477529434998728</v>
      </c>
      <c r="I40" s="36" t="n">
        <f aca="false">I36/I41</f>
        <v>0.523760730938468</v>
      </c>
    </row>
    <row r="41" customFormat="false" ht="15" hidden="false" customHeight="false" outlineLevel="0" collapsed="false">
      <c r="A41" s="25" t="s">
        <v>97</v>
      </c>
      <c r="B41" s="34" t="n">
        <f aca="false">B36/B40</f>
        <v>245.951859956236</v>
      </c>
      <c r="C41" s="34" t="n">
        <f aca="false">C36/C40</f>
        <v>266.666666666667</v>
      </c>
      <c r="D41" s="34" t="n">
        <f aca="false">D36/D40</f>
        <v>268.098016336056</v>
      </c>
      <c r="E41" s="34" t="n">
        <f aca="false">E36/E40</f>
        <v>284.645161290322</v>
      </c>
      <c r="F41" s="34" t="n">
        <f aca="false">F36/F40</f>
        <v>298.81679389313</v>
      </c>
      <c r="G41" s="27" t="n">
        <f aca="false">F41*(1+Assumptions!C15)</f>
        <v>310.769465648855</v>
      </c>
      <c r="H41" s="27" t="n">
        <f aca="false">G41*(1+Assumptions!D15)</f>
        <v>323.200244274809</v>
      </c>
      <c r="I41" s="27" t="n">
        <f aca="false">H41*(1+Assumptions!E15)</f>
        <v>336.128254045802</v>
      </c>
    </row>
    <row r="43" customFormat="false" ht="15" hidden="false" customHeight="false" outlineLevel="0" collapsed="false">
      <c r="A43" s="18" t="s">
        <v>98</v>
      </c>
      <c r="B43" s="18"/>
      <c r="C43" s="18"/>
      <c r="D43" s="18"/>
      <c r="E43" s="18"/>
      <c r="F43" s="18"/>
      <c r="G43" s="18"/>
      <c r="H43" s="18"/>
      <c r="I43" s="18"/>
    </row>
    <row r="44" customFormat="false" ht="15" hidden="false" customHeight="false" outlineLevel="0" collapsed="false">
      <c r="A44" s="19" t="s">
        <v>99</v>
      </c>
      <c r="D44" s="20" t="n">
        <v>253.6</v>
      </c>
      <c r="E44" s="20" t="n">
        <v>692.5</v>
      </c>
      <c r="F44" s="20" t="n">
        <v>903</v>
      </c>
      <c r="G44" s="21" t="n">
        <f aca="false">G6*Assumptions!C9</f>
        <v>938.49</v>
      </c>
      <c r="H44" s="21" t="n">
        <f aca="false">H6*Assumptions!D9</f>
        <v>1158.3648</v>
      </c>
      <c r="I44" s="21" t="n">
        <f aca="false">I6*Assumptions!E9</f>
        <v>1400.89743</v>
      </c>
    </row>
    <row r="45" customFormat="false" ht="15" hidden="false" customHeight="false" outlineLevel="0" collapsed="false">
      <c r="A45" s="22" t="s">
        <v>68</v>
      </c>
      <c r="E45" s="23" t="n">
        <f aca="false">E44/D44-1</f>
        <v>1.73067823343849</v>
      </c>
      <c r="F45" s="23" t="n">
        <f aca="false">F44/E44-1</f>
        <v>0.303971119133574</v>
      </c>
      <c r="G45" s="24" t="n">
        <f aca="false">G44/F44-1</f>
        <v>0.0393023255813956</v>
      </c>
      <c r="H45" s="24" t="n">
        <f aca="false">H44/G44-1</f>
        <v>0.234285714285714</v>
      </c>
      <c r="I45" s="24" t="n">
        <f aca="false">I44/H44-1</f>
        <v>0.209375</v>
      </c>
    </row>
    <row r="46" customFormat="false" ht="15" hidden="false" customHeight="false" outlineLevel="0" collapsed="false">
      <c r="A46" s="22" t="s">
        <v>100</v>
      </c>
      <c r="D46" s="23" t="n">
        <f aca="false">D44/D6</f>
        <v>0.00560130049121815</v>
      </c>
      <c r="E46" s="23" t="n">
        <f aca="false">E44/E6</f>
        <v>0.0142039627517742</v>
      </c>
      <c r="F46" s="23" t="n">
        <f aca="false">F44/F6</f>
        <v>0.0183536585365854</v>
      </c>
      <c r="G46" s="24" t="n">
        <f aca="false">G44/G6</f>
        <v>0.0175</v>
      </c>
      <c r="H46" s="24" t="n">
        <f aca="false">H44/H6</f>
        <v>0.02</v>
      </c>
      <c r="I46" s="24" t="n">
        <f aca="false">I44/I6</f>
        <v>0.0225</v>
      </c>
    </row>
    <row r="47" customFormat="false" ht="15" hidden="false" customHeight="false" outlineLevel="0" collapsed="false">
      <c r="A47" s="22" t="s">
        <v>101</v>
      </c>
      <c r="D47" s="23" t="n">
        <f aca="false">D44/D11</f>
        <v>0.0255082026574397</v>
      </c>
      <c r="E47" s="23" t="n">
        <f aca="false">E44/E11</f>
        <v>0.056325083165917</v>
      </c>
      <c r="F47" s="23" t="n">
        <f aca="false">F44/F11</f>
        <v>0.0642247510668563</v>
      </c>
      <c r="G47" s="24" t="n">
        <f aca="false">G44/G11</f>
        <v>0.0600806797699768</v>
      </c>
      <c r="H47" s="24" t="n">
        <f aca="false">H44/H11</f>
        <v>0.0675561560547205</v>
      </c>
      <c r="I47" s="24" t="n">
        <f aca="false">I44/I11</f>
        <v>0.074794315632012</v>
      </c>
    </row>
    <row r="48" customFormat="false" ht="15" hidden="false" customHeight="false" outlineLevel="0" collapsed="false">
      <c r="A48" s="22" t="s">
        <v>102</v>
      </c>
      <c r="D48" s="34" t="n">
        <f aca="false">D44-D25</f>
        <v>1910.6</v>
      </c>
      <c r="E48" s="34" t="n">
        <f aca="false">E44-E25</f>
        <v>1033.7</v>
      </c>
      <c r="F48" s="34" t="n">
        <f aca="false">F44-F25</f>
        <v>809.3</v>
      </c>
      <c r="G48" s="27" t="n">
        <f aca="false">G8*Assumptions!C10</f>
        <v>850.54008</v>
      </c>
      <c r="H48" s="27" t="n">
        <f aca="false">H8*Assumptions!D10</f>
        <v>897.73272</v>
      </c>
      <c r="I48" s="27" t="n">
        <f aca="false">I8*Assumptions!E10</f>
        <v>941.40307296</v>
      </c>
    </row>
    <row r="49" customFormat="false" ht="15" hidden="false" customHeight="false" outlineLevel="0" collapsed="false">
      <c r="A49" s="25" t="s">
        <v>103</v>
      </c>
      <c r="D49" s="26" t="n">
        <v>-366</v>
      </c>
      <c r="E49" s="26" t="n">
        <v>100</v>
      </c>
      <c r="F49" s="26" t="n">
        <v>200</v>
      </c>
      <c r="G49" s="27" t="n">
        <f aca="false">Assumptions!C16</f>
        <v>260</v>
      </c>
      <c r="H49" s="27" t="n">
        <f aca="false">Assumptions!D16</f>
        <v>400</v>
      </c>
      <c r="I49" s="27" t="n">
        <f aca="false">Assumptions!E16</f>
        <v>550</v>
      </c>
    </row>
    <row r="52" customFormat="false" ht="15" hidden="false" customHeight="true" outlineLevel="0" collapsed="false">
      <c r="A52" s="37" t="s">
        <v>104</v>
      </c>
      <c r="B52" s="37"/>
      <c r="C52" s="37"/>
      <c r="D52" s="37"/>
      <c r="E52" s="37"/>
      <c r="F52" s="37"/>
      <c r="G52" s="37"/>
      <c r="H52" s="37"/>
      <c r="I52" s="37"/>
    </row>
    <row r="53" customFormat="false" ht="17.9" hidden="false" customHeight="true" outlineLevel="0" collapsed="false">
      <c r="A53" s="38" t="s">
        <v>105</v>
      </c>
      <c r="B53" s="38"/>
      <c r="C53" s="38"/>
      <c r="D53" s="38"/>
      <c r="E53" s="38"/>
      <c r="F53" s="38"/>
      <c r="G53" s="38"/>
      <c r="H53" s="38"/>
      <c r="I53" s="38"/>
    </row>
    <row r="54" customFormat="false" ht="17.9" hidden="false" customHeight="true" outlineLevel="0" collapsed="false">
      <c r="A54" s="38" t="s">
        <v>106</v>
      </c>
      <c r="B54" s="38"/>
      <c r="C54" s="38"/>
      <c r="D54" s="38"/>
      <c r="E54" s="38"/>
      <c r="F54" s="38"/>
      <c r="G54" s="38"/>
      <c r="H54" s="38"/>
      <c r="I54" s="38"/>
    </row>
    <row r="55" customFormat="false" ht="26.1" hidden="false" customHeight="true" outlineLevel="0" collapsed="false">
      <c r="A55" s="38" t="s">
        <v>107</v>
      </c>
      <c r="B55" s="38"/>
      <c r="C55" s="38"/>
      <c r="D55" s="38"/>
      <c r="E55" s="38"/>
      <c r="F55" s="38"/>
      <c r="G55" s="38"/>
      <c r="H55" s="38"/>
      <c r="I55" s="38"/>
    </row>
    <row r="56" customFormat="false" ht="17.9" hidden="false" customHeight="true" outlineLevel="0" collapsed="false">
      <c r="A56" s="38" t="s">
        <v>108</v>
      </c>
      <c r="B56" s="38"/>
      <c r="C56" s="38"/>
      <c r="D56" s="38"/>
      <c r="E56" s="38"/>
      <c r="F56" s="38"/>
      <c r="G56" s="38"/>
      <c r="H56" s="38"/>
      <c r="I56" s="38"/>
    </row>
  </sheetData>
  <mergeCells count="12">
    <mergeCell ref="A1:I1"/>
    <mergeCell ref="A2:I2"/>
    <mergeCell ref="A5:I5"/>
    <mergeCell ref="A15:I15"/>
    <mergeCell ref="A28:I28"/>
    <mergeCell ref="A39:I39"/>
    <mergeCell ref="A43:I43"/>
    <mergeCell ref="A52:I52"/>
    <mergeCell ref="A53:I53"/>
    <mergeCell ref="A54:I54"/>
    <mergeCell ref="A55:I55"/>
    <mergeCell ref="A56:I5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12" min="2" style="0" width="13"/>
  </cols>
  <sheetData>
    <row r="1" customFormat="false" ht="21.75" hidden="false" customHeight="true" outlineLevel="0" collapsed="false">
      <c r="A1" s="5" t="s">
        <v>109</v>
      </c>
      <c r="B1" s="5"/>
      <c r="C1" s="5"/>
      <c r="D1" s="5"/>
      <c r="E1" s="5"/>
      <c r="F1" s="5"/>
      <c r="G1" s="5"/>
      <c r="H1" s="5"/>
      <c r="I1" s="5"/>
      <c r="J1" s="5"/>
      <c r="K1" s="5"/>
      <c r="L1" s="5"/>
    </row>
    <row r="2" customFormat="false" ht="15" hidden="false" customHeight="false" outlineLevel="0" collapsed="false">
      <c r="A2" s="6" t="s">
        <v>110</v>
      </c>
      <c r="B2" s="6"/>
      <c r="C2" s="6"/>
      <c r="D2" s="6"/>
      <c r="E2" s="6"/>
      <c r="F2" s="6"/>
      <c r="G2" s="6"/>
      <c r="H2" s="6"/>
      <c r="I2" s="6"/>
      <c r="J2" s="6"/>
      <c r="K2" s="6"/>
      <c r="L2" s="6"/>
    </row>
    <row r="4" customFormat="false" ht="15" hidden="false" customHeight="false" outlineLevel="0" collapsed="false">
      <c r="A4" s="18" t="s">
        <v>111</v>
      </c>
      <c r="B4" s="18"/>
      <c r="C4" s="18"/>
      <c r="D4" s="18"/>
      <c r="E4" s="18"/>
      <c r="F4" s="18"/>
      <c r="G4" s="18"/>
      <c r="H4" s="18"/>
      <c r="I4" s="18"/>
      <c r="J4" s="18"/>
      <c r="K4" s="18"/>
      <c r="L4" s="18"/>
    </row>
    <row r="5" customFormat="false" ht="27.75" hidden="false" customHeight="true" outlineLevel="0" collapsed="false">
      <c r="A5" s="39" t="s">
        <v>112</v>
      </c>
      <c r="B5" s="39" t="s">
        <v>113</v>
      </c>
      <c r="C5" s="39" t="s">
        <v>114</v>
      </c>
      <c r="D5" s="39" t="s">
        <v>115</v>
      </c>
      <c r="E5" s="39" t="s">
        <v>116</v>
      </c>
      <c r="F5" s="39" t="s">
        <v>117</v>
      </c>
      <c r="G5" s="39" t="s">
        <v>118</v>
      </c>
      <c r="H5" s="39" t="s">
        <v>119</v>
      </c>
      <c r="I5" s="39" t="s">
        <v>120</v>
      </c>
      <c r="J5" s="39" t="s">
        <v>121</v>
      </c>
      <c r="K5" s="39" t="s">
        <v>122</v>
      </c>
      <c r="L5" s="39" t="s">
        <v>123</v>
      </c>
    </row>
    <row r="6" customFormat="false" ht="15" hidden="false" customHeight="false" outlineLevel="0" collapsed="false">
      <c r="A6" s="40" t="s">
        <v>124</v>
      </c>
      <c r="B6" s="26" t="n">
        <v>23407.4</v>
      </c>
      <c r="C6" s="26" t="n">
        <v>25354.2</v>
      </c>
      <c r="D6" s="23" t="n">
        <f aca="false">B6/C6-1</f>
        <v>-0.0767841225516877</v>
      </c>
      <c r="E6" s="26" t="n">
        <v>4071.9</v>
      </c>
      <c r="F6" s="26" t="n">
        <v>3729.4</v>
      </c>
      <c r="G6" s="23" t="n">
        <f aca="false">E6/F6-1</f>
        <v>0.0918378291414168</v>
      </c>
      <c r="H6" s="26" t="n">
        <v>385.1</v>
      </c>
      <c r="I6" s="26" t="n">
        <v>385</v>
      </c>
      <c r="J6" s="23" t="n">
        <f aca="false">H6/I6-1</f>
        <v>0.000259740259740404</v>
      </c>
      <c r="K6" s="23" t="n">
        <f aca="false">H6/B6</f>
        <v>0.0164520621683741</v>
      </c>
      <c r="L6" s="23" t="n">
        <f aca="false">I6/C6</f>
        <v>0.0151848608908978</v>
      </c>
    </row>
    <row r="7" customFormat="false" ht="15" hidden="false" customHeight="false" outlineLevel="0" collapsed="false">
      <c r="A7" s="40" t="s">
        <v>125</v>
      </c>
      <c r="B7" s="26" t="n">
        <v>12825.9</v>
      </c>
      <c r="C7" s="26" t="n">
        <v>9959.3</v>
      </c>
      <c r="D7" s="23" t="n">
        <f aca="false">B7/C7-1</f>
        <v>0.287831474099585</v>
      </c>
      <c r="E7" s="26" t="n">
        <v>3527.8</v>
      </c>
      <c r="F7" s="26" t="n">
        <v>2700.8</v>
      </c>
      <c r="G7" s="23" t="n">
        <f aca="false">E7/F7-1</f>
        <v>0.306205568720379</v>
      </c>
      <c r="H7" s="26" t="n">
        <v>472.9</v>
      </c>
      <c r="I7" s="26" t="n">
        <v>304.6</v>
      </c>
      <c r="J7" s="23" t="n">
        <f aca="false">H7/I7-1</f>
        <v>0.55252790544977</v>
      </c>
      <c r="K7" s="23" t="n">
        <f aca="false">H7/B7</f>
        <v>0.0368707069289485</v>
      </c>
      <c r="L7" s="23" t="n">
        <f aca="false">I7/C7</f>
        <v>0.0305844788288334</v>
      </c>
    </row>
    <row r="8" customFormat="false" ht="15" hidden="false" customHeight="false" outlineLevel="0" collapsed="false">
      <c r="A8" s="40" t="s">
        <v>126</v>
      </c>
      <c r="B8" s="26" t="n">
        <v>8878.7</v>
      </c>
      <c r="C8" s="26" t="n">
        <v>7510</v>
      </c>
      <c r="D8" s="23" t="n">
        <f aca="false">B8/C8-1</f>
        <v>0.182250332889481</v>
      </c>
      <c r="E8" s="26" t="n">
        <v>1891.9</v>
      </c>
      <c r="F8" s="26" t="n">
        <v>1522.4</v>
      </c>
      <c r="G8" s="23" t="n">
        <f aca="false">E8/F8-1</f>
        <v>0.242708880714661</v>
      </c>
      <c r="H8" s="26" t="n">
        <v>-77</v>
      </c>
      <c r="I8" s="26" t="n">
        <v>-168.2</v>
      </c>
      <c r="J8" s="23" t="n">
        <f aca="false">H8/I8-1</f>
        <v>-0.542211652794292</v>
      </c>
      <c r="K8" s="23" t="n">
        <f aca="false">H8/B8</f>
        <v>-0.00867244078525009</v>
      </c>
      <c r="L8" s="23" t="n">
        <f aca="false">I8/C8</f>
        <v>-0.0223968042609854</v>
      </c>
    </row>
    <row r="9" customFormat="false" ht="15" hidden="false" customHeight="false" outlineLevel="0" collapsed="false">
      <c r="A9" s="40" t="s">
        <v>127</v>
      </c>
      <c r="B9" s="26" t="n">
        <v>3642</v>
      </c>
      <c r="C9" s="26" t="n">
        <v>2451.7</v>
      </c>
      <c r="D9" s="23" t="n">
        <f aca="false">B9/C9-1</f>
        <v>0.485499857241914</v>
      </c>
      <c r="E9" s="26" t="n">
        <v>939.6</v>
      </c>
      <c r="F9" s="26" t="n">
        <v>651</v>
      </c>
      <c r="G9" s="23" t="n">
        <f aca="false">E9/F9-1</f>
        <v>0.443317972350231</v>
      </c>
      <c r="H9" s="26" t="n">
        <v>10.3</v>
      </c>
      <c r="I9" s="26" t="n">
        <v>-49.9</v>
      </c>
      <c r="J9" s="23" t="n">
        <f aca="false">H9/I9-1</f>
        <v>-1.2064128256513</v>
      </c>
      <c r="K9" s="23" t="n">
        <f aca="false">H9/B9</f>
        <v>0.0028281164195497</v>
      </c>
      <c r="L9" s="23" t="n">
        <f aca="false">I9/C9</f>
        <v>-0.0203532242933475</v>
      </c>
    </row>
    <row r="10" customFormat="false" ht="15" hidden="false" customHeight="false" outlineLevel="0" collapsed="false">
      <c r="A10" s="40" t="s">
        <v>128</v>
      </c>
      <c r="B10" s="26" t="n">
        <v>2904.7</v>
      </c>
      <c r="C10" s="26" t="n">
        <v>2224.4</v>
      </c>
      <c r="D10" s="23" t="n">
        <f aca="false">B10/C10-1</f>
        <v>0.305835281424204</v>
      </c>
      <c r="E10" s="26" t="n">
        <v>2709.8</v>
      </c>
      <c r="F10" s="26" t="n">
        <v>2126.1</v>
      </c>
      <c r="G10" s="23" t="n">
        <f aca="false">E10/F10-1</f>
        <v>0.27454023799445</v>
      </c>
      <c r="H10" s="26" t="n">
        <v>-98.7</v>
      </c>
      <c r="I10" s="26" t="n">
        <v>-217.9</v>
      </c>
      <c r="J10" s="23" t="n">
        <f aca="false">H10/I10-1</f>
        <v>-0.547039926571822</v>
      </c>
      <c r="K10" s="23" t="n">
        <f aca="false">H10/B10</f>
        <v>-0.0339794126760079</v>
      </c>
      <c r="L10" s="23" t="n">
        <f aca="false">I10/C10</f>
        <v>-0.0979590001798238</v>
      </c>
    </row>
    <row r="11" customFormat="false" ht="15" hidden="false" customHeight="false" outlineLevel="0" collapsed="false">
      <c r="A11" s="41" t="s">
        <v>129</v>
      </c>
      <c r="B11" s="30" t="n">
        <v>48754</v>
      </c>
      <c r="C11" s="30" t="n">
        <v>45275.2</v>
      </c>
      <c r="D11" s="42" t="n">
        <f aca="false">B11/C11-1</f>
        <v>0.0768367671484611</v>
      </c>
      <c r="E11" s="30" t="n">
        <v>12796.4</v>
      </c>
      <c r="F11" s="30" t="n">
        <v>10463.2</v>
      </c>
      <c r="G11" s="42" t="n">
        <f aca="false">E11/F11-1</f>
        <v>0.222991054361954</v>
      </c>
      <c r="H11" s="30" t="n">
        <v>692.5</v>
      </c>
      <c r="I11" s="30" t="n">
        <v>253.6</v>
      </c>
      <c r="J11" s="42" t="n">
        <f aca="false">H11/I11-1</f>
        <v>1.73067823343849</v>
      </c>
      <c r="K11" s="42" t="n">
        <f aca="false">H11/B11</f>
        <v>0.0142039627517742</v>
      </c>
      <c r="L11" s="42" t="n">
        <f aca="false">I11/C11</f>
        <v>0.00560130049121815</v>
      </c>
    </row>
    <row r="13" customFormat="false" ht="17.9" hidden="false" customHeight="true" outlineLevel="0" collapsed="false">
      <c r="A13" s="38" t="s">
        <v>130</v>
      </c>
      <c r="B13" s="38"/>
      <c r="C13" s="38"/>
      <c r="D13" s="38"/>
      <c r="E13" s="38"/>
      <c r="F13" s="38"/>
      <c r="G13" s="38"/>
      <c r="H13" s="38"/>
      <c r="I13" s="38"/>
      <c r="J13" s="38"/>
      <c r="K13" s="38"/>
      <c r="L13" s="38"/>
    </row>
    <row r="15" customFormat="false" ht="15" hidden="false" customHeight="false" outlineLevel="0" collapsed="false">
      <c r="A15" s="18" t="s">
        <v>131</v>
      </c>
      <c r="B15" s="18"/>
      <c r="C15" s="18"/>
      <c r="D15" s="18"/>
      <c r="E15" s="18"/>
      <c r="F15" s="18"/>
      <c r="G15" s="18"/>
    </row>
    <row r="16" customFormat="false" ht="15" hidden="false" customHeight="false" outlineLevel="0" collapsed="false">
      <c r="A16" s="17" t="s">
        <v>60</v>
      </c>
      <c r="B16" s="8" t="s">
        <v>63</v>
      </c>
      <c r="C16" s="8" t="s">
        <v>64</v>
      </c>
      <c r="D16" s="8" t="s">
        <v>65</v>
      </c>
      <c r="E16" s="8" t="s">
        <v>29</v>
      </c>
      <c r="F16" s="8" t="s">
        <v>30</v>
      </c>
      <c r="G16" s="8" t="s">
        <v>31</v>
      </c>
    </row>
    <row r="17" customFormat="false" ht="15" hidden="false" customHeight="false" outlineLevel="0" collapsed="false">
      <c r="A17" s="43" t="s">
        <v>67</v>
      </c>
      <c r="B17" s="44" t="n">
        <f aca="false">'Income Statement'!D6</f>
        <v>45275.2</v>
      </c>
      <c r="C17" s="44" t="n">
        <f aca="false">'Income Statement'!E6</f>
        <v>48754</v>
      </c>
      <c r="D17" s="44" t="n">
        <f aca="false">'Income Statement'!F6</f>
        <v>49200</v>
      </c>
      <c r="E17" s="21" t="n">
        <f aca="false">'Income Statement'!G6</f>
        <v>53628</v>
      </c>
      <c r="F17" s="21" t="n">
        <f aca="false">'Income Statement'!H6</f>
        <v>57918.24</v>
      </c>
      <c r="G17" s="21" t="n">
        <f aca="false">'Income Statement'!I6</f>
        <v>62262.108</v>
      </c>
    </row>
    <row r="18" customFormat="false" ht="15" hidden="false" customHeight="false" outlineLevel="0" collapsed="false">
      <c r="A18" s="45" t="s">
        <v>68</v>
      </c>
      <c r="B18" s="46"/>
      <c r="C18" s="23" t="n">
        <f aca="false">C17/B17-1</f>
        <v>0.0768367671484611</v>
      </c>
      <c r="D18" s="23" t="n">
        <f aca="false">D17/C17-1</f>
        <v>0.0091479673462691</v>
      </c>
      <c r="E18" s="23" t="n">
        <f aca="false">E17/D17-1</f>
        <v>0.0900000000000001</v>
      </c>
      <c r="F18" s="23" t="n">
        <f aca="false">F17/E17-1</f>
        <v>0.0800000000000001</v>
      </c>
      <c r="G18" s="23" t="n">
        <f aca="false">G17/F17-1</f>
        <v>0.075</v>
      </c>
    </row>
    <row r="19" customFormat="false" ht="15" hidden="false" customHeight="false" outlineLevel="0" collapsed="false">
      <c r="A19" s="47" t="s">
        <v>132</v>
      </c>
      <c r="B19" s="16" t="n">
        <f aca="false">'Income Statement'!D8</f>
        <v>10463.2</v>
      </c>
      <c r="C19" s="16" t="n">
        <f aca="false">'Income Statement'!E8</f>
        <v>12796.4</v>
      </c>
      <c r="D19" s="16" t="n">
        <f aca="false">'Income Statement'!F8</f>
        <v>14800</v>
      </c>
      <c r="E19" s="27" t="n">
        <f aca="false">'Income Statement'!G8</f>
        <v>16356.54</v>
      </c>
      <c r="F19" s="27" t="n">
        <f aca="false">'Income Statement'!H8</f>
        <v>17954.6544</v>
      </c>
      <c r="G19" s="27" t="n">
        <f aca="false">'Income Statement'!I8</f>
        <v>19612.56402</v>
      </c>
    </row>
    <row r="20" customFormat="false" ht="15" hidden="false" customHeight="false" outlineLevel="0" collapsed="false">
      <c r="A20" s="45" t="s">
        <v>68</v>
      </c>
      <c r="B20" s="46"/>
      <c r="C20" s="23" t="n">
        <f aca="false">C19/B19-1</f>
        <v>0.222991054361954</v>
      </c>
      <c r="D20" s="23" t="n">
        <f aca="false">D19/C19-1</f>
        <v>0.156575286799412</v>
      </c>
      <c r="E20" s="23" t="n">
        <f aca="false">E19/D19-1</f>
        <v>0.105171621621622</v>
      </c>
      <c r="F20" s="23" t="n">
        <f aca="false">F19/E19-1</f>
        <v>0.0977049180327869</v>
      </c>
      <c r="G20" s="23" t="n">
        <f aca="false">G19/F19-1</f>
        <v>0.0923387096774193</v>
      </c>
    </row>
    <row r="21" customFormat="false" ht="15" hidden="false" customHeight="false" outlineLevel="0" collapsed="false">
      <c r="A21" s="43" t="s">
        <v>133</v>
      </c>
      <c r="B21" s="44" t="n">
        <f aca="false">'Income Statement'!D11</f>
        <v>9941.9</v>
      </c>
      <c r="C21" s="44" t="n">
        <f aca="false">'Income Statement'!E11</f>
        <v>12294.7</v>
      </c>
      <c r="D21" s="44" t="n">
        <f aca="false">'Income Statement'!F11</f>
        <v>14060</v>
      </c>
      <c r="E21" s="21" t="n">
        <f aca="false">'Income Statement'!G11</f>
        <v>15620.4957</v>
      </c>
      <c r="F21" s="21" t="n">
        <f aca="false">'Income Statement'!H11</f>
        <v>17146.694952</v>
      </c>
      <c r="G21" s="21" t="n">
        <f aca="false">'Income Statement'!I11</f>
        <v>18729.9986391</v>
      </c>
    </row>
    <row r="22" customFormat="false" ht="15" hidden="false" customHeight="false" outlineLevel="0" collapsed="false">
      <c r="A22" s="45" t="s">
        <v>68</v>
      </c>
      <c r="B22" s="46"/>
      <c r="C22" s="23" t="n">
        <f aca="false">C21/B21-1</f>
        <v>0.236654965348676</v>
      </c>
      <c r="D22" s="23" t="n">
        <f aca="false">D21/C21-1</f>
        <v>0.143582193953492</v>
      </c>
      <c r="E22" s="23" t="n">
        <f aca="false">E21/D21-1</f>
        <v>0.110988314366999</v>
      </c>
      <c r="F22" s="23" t="n">
        <f aca="false">F21/E21-1</f>
        <v>0.0977049180327869</v>
      </c>
      <c r="G22" s="23" t="n">
        <f aca="false">G21/F21-1</f>
        <v>0.0923387096774193</v>
      </c>
    </row>
    <row r="23" customFormat="false" ht="15" hidden="false" customHeight="false" outlineLevel="0" collapsed="false">
      <c r="A23" s="47" t="s">
        <v>75</v>
      </c>
      <c r="B23" s="16" t="n">
        <f aca="false">'Income Statement'!D17</f>
        <v>2972.7</v>
      </c>
      <c r="C23" s="16" t="n">
        <f aca="false">'Income Statement'!E17</f>
        <v>3329.2</v>
      </c>
      <c r="D23" s="16" t="n">
        <f aca="false">'Income Statement'!F17</f>
        <v>3433</v>
      </c>
      <c r="E23" s="27" t="n">
        <f aca="false">'Income Statement'!G17</f>
        <v>3905.123925</v>
      </c>
      <c r="F23" s="27" t="n">
        <f aca="false">'Income Statement'!H17</f>
        <v>4372.40721276</v>
      </c>
      <c r="G23" s="27" t="n">
        <f aca="false">'Income Statement'!I17</f>
        <v>4869.799646166</v>
      </c>
    </row>
    <row r="24" customFormat="false" ht="15" hidden="false" customHeight="false" outlineLevel="0" collapsed="false">
      <c r="A24" s="45" t="s">
        <v>76</v>
      </c>
      <c r="B24" s="23" t="n">
        <f aca="false">B23/B21</f>
        <v>0.299007232018025</v>
      </c>
      <c r="C24" s="23" t="n">
        <f aca="false">C23/C21</f>
        <v>0.270783345669272</v>
      </c>
      <c r="D24" s="23" t="n">
        <f aca="false">D23/D21</f>
        <v>0.244167852062589</v>
      </c>
      <c r="E24" s="23" t="n">
        <f aca="false">E23/E21</f>
        <v>0.25</v>
      </c>
      <c r="F24" s="23" t="n">
        <f aca="false">F23/F21</f>
        <v>0.255</v>
      </c>
      <c r="G24" s="23" t="n">
        <f aca="false">G23/G21</f>
        <v>0.26</v>
      </c>
    </row>
    <row r="25" customFormat="false" ht="15" hidden="false" customHeight="false" outlineLevel="0" collapsed="false">
      <c r="A25" s="43" t="s">
        <v>99</v>
      </c>
      <c r="B25" s="44" t="n">
        <f aca="false">'Income Statement'!D44</f>
        <v>253.6</v>
      </c>
      <c r="C25" s="44" t="n">
        <f aca="false">'Income Statement'!E44</f>
        <v>692.5</v>
      </c>
      <c r="D25" s="44" t="n">
        <f aca="false">'Income Statement'!F44</f>
        <v>903</v>
      </c>
      <c r="E25" s="21" t="n">
        <f aca="false">'Income Statement'!G44</f>
        <v>938.49</v>
      </c>
      <c r="F25" s="21" t="n">
        <f aca="false">'Income Statement'!H44</f>
        <v>1158.3648</v>
      </c>
      <c r="G25" s="21" t="n">
        <f aca="false">'Income Statement'!I44</f>
        <v>1400.89743</v>
      </c>
    </row>
    <row r="26" customFormat="false" ht="15" hidden="false" customHeight="false" outlineLevel="0" collapsed="false">
      <c r="A26" s="45" t="s">
        <v>68</v>
      </c>
      <c r="B26" s="46"/>
      <c r="C26" s="23" t="n">
        <f aca="false">C25/B25-1</f>
        <v>1.73067823343849</v>
      </c>
      <c r="D26" s="23" t="n">
        <f aca="false">D25/C25-1</f>
        <v>0.303971119133574</v>
      </c>
      <c r="E26" s="23" t="n">
        <f aca="false">E25/D25-1</f>
        <v>0.0393023255813956</v>
      </c>
      <c r="F26" s="23" t="n">
        <f aca="false">F25/E25-1</f>
        <v>0.234285714285714</v>
      </c>
      <c r="G26" s="23" t="n">
        <f aca="false">G25/F25-1</f>
        <v>0.209375</v>
      </c>
    </row>
    <row r="27" customFormat="false" ht="15" hidden="false" customHeight="false" outlineLevel="0" collapsed="false">
      <c r="A27" s="45" t="s">
        <v>100</v>
      </c>
      <c r="B27" s="23" t="n">
        <f aca="false">B25/B17</f>
        <v>0.00560130049121815</v>
      </c>
      <c r="C27" s="23" t="n">
        <f aca="false">C25/C17</f>
        <v>0.0142039627517742</v>
      </c>
      <c r="D27" s="23" t="n">
        <f aca="false">D25/D17</f>
        <v>0.0183536585365854</v>
      </c>
      <c r="E27" s="23" t="n">
        <f aca="false">E25/E17</f>
        <v>0.0175</v>
      </c>
      <c r="F27" s="23" t="n">
        <f aca="false">F25/F17</f>
        <v>0.02</v>
      </c>
      <c r="G27" s="23" t="n">
        <f aca="false">G25/G17</f>
        <v>0.0225</v>
      </c>
    </row>
    <row r="28" customFormat="false" ht="15" hidden="false" customHeight="false" outlineLevel="0" collapsed="false">
      <c r="A28" s="47" t="s">
        <v>83</v>
      </c>
      <c r="B28" s="16" t="n">
        <f aca="false">'Income Statement'!D25</f>
        <v>-1657</v>
      </c>
      <c r="C28" s="16" t="n">
        <f aca="false">'Income Statement'!E25</f>
        <v>-341.199999999999</v>
      </c>
      <c r="D28" s="16" t="n">
        <f aca="false">'Income Statement'!F25</f>
        <v>93.7</v>
      </c>
      <c r="E28" s="27" t="n">
        <f aca="false">'Income Statement'!G25</f>
        <v>87.9499200000001</v>
      </c>
      <c r="F28" s="27" t="n">
        <f aca="false">'Income Statement'!H25</f>
        <v>260.63208</v>
      </c>
      <c r="G28" s="27" t="n">
        <f aca="false">'Income Statement'!I25</f>
        <v>459.49435704</v>
      </c>
    </row>
    <row r="29" customFormat="false" ht="15" hidden="false" customHeight="false" outlineLevel="0" collapsed="false">
      <c r="A29" s="47" t="s">
        <v>134</v>
      </c>
      <c r="B29" s="16" t="n">
        <f aca="false">'Income Statement'!D36</f>
        <v>-2297.6</v>
      </c>
      <c r="C29" s="16" t="n">
        <f aca="false">'Income Statement'!E36</f>
        <v>-882.399999999999</v>
      </c>
      <c r="D29" s="16" t="n">
        <f aca="false">'Income Statement'!F36</f>
        <v>-782.9</v>
      </c>
      <c r="E29" s="27" t="n">
        <f aca="false">'Income Statement'!G36</f>
        <v>-161.9780112</v>
      </c>
      <c r="F29" s="27" t="n">
        <f aca="false">'Income Statement'!H36</f>
        <v>15.433763004</v>
      </c>
      <c r="G29" s="27" t="n">
        <f aca="false">'Income Statement'!I36</f>
        <v>176.0507800281</v>
      </c>
    </row>
    <row r="30" customFormat="false" ht="15" hidden="false" customHeight="false" outlineLevel="0" collapsed="false">
      <c r="A30" s="47" t="s">
        <v>103</v>
      </c>
      <c r="B30" s="16" t="n">
        <f aca="false">'Income Statement'!D49</f>
        <v>-366</v>
      </c>
      <c r="C30" s="16" t="n">
        <f aca="false">'Income Statement'!E49</f>
        <v>100</v>
      </c>
      <c r="D30" s="16" t="n">
        <f aca="false">'Income Statement'!F49</f>
        <v>200</v>
      </c>
      <c r="E30" s="27" t="n">
        <f aca="false">'Income Statement'!G49</f>
        <v>260</v>
      </c>
      <c r="F30" s="27" t="n">
        <f aca="false">'Income Statement'!H49</f>
        <v>400</v>
      </c>
      <c r="G30" s="27" t="n">
        <f aca="false">'Income Statement'!I49</f>
        <v>550</v>
      </c>
    </row>
    <row r="31" customFormat="false" ht="15" hidden="false" customHeight="false" outlineLevel="0" collapsed="false">
      <c r="A31" s="18" t="s">
        <v>135</v>
      </c>
      <c r="B31" s="18"/>
      <c r="C31" s="18"/>
      <c r="D31" s="18"/>
    </row>
    <row r="32" customFormat="false" ht="15" hidden="false" customHeight="false" outlineLevel="0" collapsed="false">
      <c r="A32" s="7" t="s">
        <v>112</v>
      </c>
      <c r="B32" s="8" t="s">
        <v>113</v>
      </c>
      <c r="C32" s="8" t="s">
        <v>136</v>
      </c>
      <c r="D32" s="8" t="s">
        <v>137</v>
      </c>
    </row>
    <row r="33" customFormat="false" ht="15" hidden="false" customHeight="false" outlineLevel="0" collapsed="false">
      <c r="A33" s="40" t="str">
        <f aca="false">A6</f>
        <v>Asia</v>
      </c>
      <c r="B33" s="34" t="n">
        <f aca="false">B6</f>
        <v>23407.4</v>
      </c>
      <c r="C33" s="34" t="n">
        <f aca="false">E6</f>
        <v>4071.9</v>
      </c>
      <c r="D33" s="34" t="n">
        <f aca="false">H6</f>
        <v>385.1</v>
      </c>
    </row>
    <row r="34" customFormat="false" ht="15" hidden="false" customHeight="false" outlineLevel="0" collapsed="false">
      <c r="A34" s="40" t="str">
        <f aca="false">A7</f>
        <v>MENA</v>
      </c>
      <c r="B34" s="34" t="n">
        <f aca="false">B7</f>
        <v>12825.9</v>
      </c>
      <c r="C34" s="34" t="n">
        <f aca="false">E7</f>
        <v>3527.8</v>
      </c>
      <c r="D34" s="34" t="n">
        <f aca="false">H7</f>
        <v>472.9</v>
      </c>
    </row>
    <row r="35" customFormat="false" ht="15" hidden="false" customHeight="false" outlineLevel="0" collapsed="false">
      <c r="A35" s="40" t="str">
        <f aca="false">A8</f>
        <v>Europe</v>
      </c>
      <c r="B35" s="34" t="n">
        <f aca="false">B8</f>
        <v>8878.7</v>
      </c>
      <c r="C35" s="34" t="n">
        <f aca="false">E8</f>
        <v>1891.9</v>
      </c>
      <c r="D35" s="34" t="n">
        <f aca="false">H8</f>
        <v>-77</v>
      </c>
    </row>
    <row r="36" customFormat="false" ht="15" hidden="false" customHeight="false" outlineLevel="0" collapsed="false">
      <c r="A36" s="40" t="str">
        <f aca="false">A9</f>
        <v>Americas</v>
      </c>
      <c r="B36" s="34" t="n">
        <f aca="false">B9</f>
        <v>3642</v>
      </c>
      <c r="C36" s="34" t="n">
        <f aca="false">E9</f>
        <v>939.6</v>
      </c>
      <c r="D36" s="34" t="n">
        <f aca="false">H9</f>
        <v>10.3</v>
      </c>
    </row>
    <row r="37" customFormat="false" ht="15" hidden="false" customHeight="false" outlineLevel="0" collapsed="false">
      <c r="A37" s="40" t="str">
        <f aca="false">A10</f>
        <v>Integrated Verticals</v>
      </c>
      <c r="B37" s="34" t="n">
        <f aca="false">B10</f>
        <v>2904.7</v>
      </c>
      <c r="C37" s="34" t="n">
        <f aca="false">E10</f>
        <v>2709.8</v>
      </c>
      <c r="D37" s="34" t="n">
        <f aca="false">H10</f>
        <v>-98.7</v>
      </c>
    </row>
    <row r="39" customFormat="false" ht="17.9" hidden="false" customHeight="true" outlineLevel="0" collapsed="false">
      <c r="A39" s="38" t="s">
        <v>138</v>
      </c>
      <c r="B39" s="38"/>
      <c r="C39" s="38"/>
      <c r="D39" s="38"/>
      <c r="E39" s="38"/>
      <c r="F39" s="38"/>
      <c r="G39" s="38"/>
      <c r="H39" s="38"/>
      <c r="I39" s="38"/>
      <c r="J39" s="38"/>
      <c r="K39" s="38"/>
      <c r="L39" s="38"/>
    </row>
  </sheetData>
  <mergeCells count="7">
    <mergeCell ref="A1:L1"/>
    <mergeCell ref="A2:L2"/>
    <mergeCell ref="A4:L4"/>
    <mergeCell ref="A13:L13"/>
    <mergeCell ref="A15:G15"/>
    <mergeCell ref="A31:D31"/>
    <mergeCell ref="A39:L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2026-08-17T02:22:53Z</dcterms:created>
  <dc:creator>openpyxl</dc:creator>
  <dc:description/>
  <dc:language>en-US</dc:language>
  <cp:lastModifiedBy/>
  <dcterms:modified xsi:type="dcterms:W3CDTF">2026-08-17T02:22:53Z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