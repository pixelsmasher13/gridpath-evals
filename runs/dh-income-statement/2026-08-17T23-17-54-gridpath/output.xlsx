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;(#,##0.0);&quot;-&quot;"/>
    <numFmt numFmtId="165" formatCode="0.0%;(0.0%);&quot;-&quot;"/>
    <numFmt numFmtId="166" formatCode="€#,##0.00;(€#,##0.00);&quot;-&quot;"/>
    <numFmt numFmtId="167" formatCode="#,##0.0"/>
  </numFmts>
  <fonts x14ac:knownFonts="1" count="7">
    <font>
      <color theme="1"/>
      <family val="2"/>
      <scheme val="minor"/>
      <sz val="11"/>
      <name val="Calibri"/>
    </font>
    <font>
      <b/>
      <family val="2"/>
      <scheme val="minor"/>
      <name val="Calibri"/>
      <color rgb="FFFFFFFF"/>
      <sz val="14"/>
    </font>
    <font>
      <i/>
      <family val="2"/>
      <scheme val="minor"/>
      <name val="Calibri"/>
      <color rgb="FF555555"/>
      <sz val="9"/>
    </font>
    <font>
      <b/>
      <color theme="1"/>
      <family val="2"/>
      <scheme val="minor"/>
      <sz val="11"/>
      <name val="Calibri"/>
    </font>
    <font>
      <b/>
      <family val="2"/>
      <scheme val="minor"/>
      <sz val="11"/>
      <name val="Calibri"/>
      <color rgb="FFFFFFFF"/>
    </font>
    <font>
      <b/>
      <family val="2"/>
      <scheme val="minor"/>
      <sz val="11"/>
      <name val="Calibri"/>
      <color rgb="FF0000FF"/>
    </font>
    <font>
      <family val="2"/>
      <scheme val="minor"/>
      <sz val="11"/>
      <name val="Calibri"/>
      <color rgb="FF0000FF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 applyFill="1"/>
    <xf numFmtId="0" fontId="3" fillId="3" borderId="0" xfId="0" applyFont="1" applyFill="1" applyAlignment="1">
      <alignment horizontal="center"/>
    </xf>
    <xf numFmtId="0" fontId="4" fillId="2" borderId="0" xfId="0" applyFont="1" applyFill="1"/>
    <xf numFmtId="0" fontId="4" fillId="4" borderId="0" xfId="0" applyFont="1" applyFill="1"/>
    <xf numFmtId="0" fontId="2" fillId="0" borderId="0" xfId="0" applyFont="1" applyFill="1" applyAlignment="1">
      <alignment vertical="top" wrapText="1"/>
    </xf>
    <xf numFmtId="0" fontId="3" fillId="3" borderId="0" xfId="0" applyFont="1" applyFill="1"/>
    <xf numFmtId="0" fontId="3" fillId="0" borderId="0" xfId="0" applyFont="1" applyFill="1"/>
    <xf numFmtId="164" fontId="5" fillId="0" borderId="0" xfId="0" applyFont="1" applyFill="1" applyNumberFormat="1"/>
    <xf numFmtId="165" fontId="6" fillId="0" borderId="0" xfId="0" applyFont="1" applyFill="1" applyNumberFormat="1"/>
    <xf numFmtId="166" fontId="6" fillId="0" borderId="0" xfId="0" applyFont="1" applyFill="1" applyNumberFormat="1"/>
    <xf numFmtId="164" fontId="6" fillId="0" borderId="0" xfId="0" applyFont="1" applyFill="1" applyNumberFormat="1"/>
    <xf numFmtId="164" fontId="3" fillId="0" borderId="0" xfId="0" applyFont="1" applyFill="1" applyNumberFormat="1"/>
    <xf numFmtId="165" fontId="0" fillId="0" borderId="0" xfId="0" applyFill="1" applyNumberFormat="1"/>
    <xf numFmtId="164" fontId="0" fillId="0" borderId="0" xfId="0" applyFill="1" applyNumberFormat="1"/>
    <xf numFmtId="167" fontId="0" fillId="0" borderId="0" xfId="0" applyFill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ySplit="4" topLeftCell="B5" activePane="bottomRight" state="frozen"/>
    </sheetView>
  </sheetViews>
  <sheetFormatPr defaultRowHeight="15" outlineLevelRow="0" outlineLevelCol="0" x14ac:dyDescent="55"/>
  <cols>
    <col min="1" max="1" width="55" customWidth="1"/>
    <col min="2" max="2" width="15.71" customWidth="1"/>
    <col min="3" max="3" width="15.71" customWidth="1"/>
    <col min="4" max="4" width="15.71" customWidth="1"/>
    <col min="5" max="5" width="15.71" customWidth="1"/>
    <col min="6" max="6" width="15.71" customWidth="1"/>
  </cols>
  <sheetData>
    <row r="1" ht="19.5" customHeight="1">
      <c r="A1" s="1" t="inlineStr">
        <is>
          <t xml:space="preserve">Delivery Hero SE — Consolidated Income Statement &amp; Growth Analysis</t>
        </is>
      </c>
      <c r="B1" s="1"/>
      <c r="C1" s="1"/>
      <c r="D1" s="1"/>
      <c r="E1" s="1"/>
      <c r="F1" s="1"/>
    </row>
    <row r="2" ht="12" customHeight="1">
      <c r="A2" s="2" t="inlineStr">
        <is>
          <t xml:space="preserve">IFRS Consolidated Figures, EUR millions except per-share data  |  Fiscal Year: January–December  |  Source: Company filings / stockanalysis.com, as of Aug 17, 2026</t>
        </is>
      </c>
      <c r="B2" s="2"/>
      <c r="C2" s="2"/>
      <c r="D2" s="2"/>
      <c r="E2" s="2"/>
      <c r="F2" s="2"/>
    </row>
    <row r="4">
      <c r="B4" s="3" t="inlineStr">
        <is>
          <t xml:space="preserve">FY2021A</t>
        </is>
      </c>
      <c r="C4" s="3" t="inlineStr">
        <is>
          <t xml:space="preserve">FY2022A</t>
        </is>
      </c>
      <c r="D4" s="3" t="inlineStr">
        <is>
          <t xml:space="preserve">FY2023A</t>
        </is>
      </c>
      <c r="E4" s="3" t="inlineStr">
        <is>
          <t xml:space="preserve">FY2024A</t>
        </is>
      </c>
      <c r="F4" s="3" t="inlineStr">
        <is>
          <t xml:space="preserve">FY2025A</t>
        </is>
      </c>
    </row>
    <row r="5">
      <c r="A5" s="4" t="inlineStr">
        <is>
          <t xml:space="preserve">CONSOLIDATED INCOME STATEMENT (IFRS, €m)</t>
        </is>
      </c>
      <c r="B5" s="4"/>
      <c r="C5" s="4"/>
      <c r="D5" s="4"/>
      <c r="E5" s="4"/>
      <c r="F5" s="4"/>
    </row>
    <row r="6">
      <c r="A6" s="8" t="inlineStr">
        <is>
          <t xml:space="preserve">Revenue</t>
        </is>
      </c>
      <c r="B6" s="9">
        <v>5856</v>
      </c>
      <c r="C6" s="9">
        <v>8577</v>
      </c>
      <c r="D6" s="9">
        <v>9942</v>
      </c>
      <c r="E6" s="9">
        <v>12295</v>
      </c>
      <c r="F6" s="9">
        <v>14060</v>
      </c>
    </row>
    <row r="7">
      <c r="A7" t="inlineStr">
        <is>
          <t xml:space="preserve">   % growth YoY</t>
        </is>
      </c>
      <c r="C7" s="14">
        <f>C6/B6-1</f>
        <v>0.46465163934426235</v>
      </c>
      <c r="D7" s="14">
        <f>D6/C6-1</f>
        <v>0.1591465547394193</v>
      </c>
      <c r="E7" s="14">
        <f>E6/D6-1</f>
        <v>0.23667270166968413</v>
      </c>
      <c r="F7" s="14">
        <f>F6/E6-1</f>
        <v>0.1435542903619358</v>
      </c>
    </row>
    <row r="8">
      <c r="A8" t="inlineStr">
        <is>
          <t xml:space="preserve">Cost of revenue (derived)</t>
        </is>
      </c>
      <c r="B8" s="15">
        <f>B9-B6</f>
        <v>-4598</v>
      </c>
      <c r="C8" s="15">
        <f>C9-C6</f>
        <v>-6345</v>
      </c>
      <c r="D8" s="15">
        <f>D9-D6</f>
        <v>-6969</v>
      </c>
      <c r="E8" s="15">
        <f>E9-E6</f>
        <v>-8966</v>
      </c>
      <c r="F8" s="15">
        <f>F9-F6</f>
        <v>-10627</v>
      </c>
    </row>
    <row r="9">
      <c r="A9" s="8" t="inlineStr">
        <is>
          <t xml:space="preserve">Gross Profit</t>
        </is>
      </c>
      <c r="B9" s="9">
        <v>1258</v>
      </c>
      <c r="C9" s="9">
        <v>2232</v>
      </c>
      <c r="D9" s="9">
        <v>2973</v>
      </c>
      <c r="E9" s="9">
        <v>3329</v>
      </c>
      <c r="F9" s="9">
        <v>3433</v>
      </c>
    </row>
    <row r="10">
      <c r="A10" t="inlineStr">
        <is>
          <t xml:space="preserve">   Gross margin %</t>
        </is>
      </c>
      <c r="B10" s="14">
        <f>B9/B6</f>
        <v>0.2148224043715847</v>
      </c>
      <c r="C10" s="14">
        <f>C9/C6</f>
        <v>0.2602308499475341</v>
      </c>
      <c r="D10" s="14">
        <f>D9/D6</f>
        <v>0.29903439951719973</v>
      </c>
      <c r="E10" s="14">
        <f>E9/E6</f>
        <v>0.27076047173647827</v>
      </c>
      <c r="F10" s="14">
        <f>F9/F6</f>
        <v>0.2441678520625889</v>
      </c>
    </row>
    <row r="11">
      <c r="A11" t="inlineStr">
        <is>
          <t xml:space="preserve">   % growth YoY</t>
        </is>
      </c>
      <c r="C11" s="14">
        <f>C9/B9-1</f>
        <v>0.7742448330683624</v>
      </c>
      <c r="D11" s="14">
        <f>D9/C9-1</f>
        <v>0.331989247311828</v>
      </c>
      <c r="E11" s="14">
        <f>E9/D9-1</f>
        <v>0.11974436596030946</v>
      </c>
      <c r="F11" s="14">
        <f>F9/E9-1</f>
        <v>0.031240612796635592</v>
      </c>
    </row>
    <row r="12">
      <c r="A12" t="inlineStr">
        <is>
          <t xml:space="preserve">Operating expenses (derived: S&amp;M, G&amp;A, product/tech, D&amp;A)</t>
        </is>
      </c>
      <c r="B12" s="15">
        <f>B13-B9</f>
        <v>-2917</v>
      </c>
      <c r="C12" s="15">
        <f>C13-C9</f>
        <v>-3669</v>
      </c>
      <c r="D12" s="15">
        <f>D13-D9</f>
        <v>-3680.4</v>
      </c>
      <c r="E12" s="15">
        <f>E13-E9</f>
        <v>-3590.2</v>
      </c>
      <c r="F12" s="15">
        <f>F13-F9</f>
        <v>-3339.3</v>
      </c>
    </row>
    <row r="13">
      <c r="A13" s="8" t="inlineStr">
        <is>
          <t xml:space="preserve">EBIT (Operating income / loss)</t>
        </is>
      </c>
      <c r="B13" s="9">
        <v>-1659</v>
      </c>
      <c r="C13" s="9">
        <v>-1437</v>
      </c>
      <c r="D13" s="9">
        <v>-707.4</v>
      </c>
      <c r="E13" s="9">
        <v>-261.2</v>
      </c>
      <c r="F13" s="9">
        <v>93.7</v>
      </c>
    </row>
    <row r="14">
      <c r="A14" t="inlineStr">
        <is>
          <t xml:space="preserve">   EBIT margin %</t>
        </is>
      </c>
      <c r="B14" s="14">
        <f>B13/B6</f>
        <v>-0.2832991803278688</v>
      </c>
      <c r="C14" s="14">
        <f>C13/C6</f>
        <v>-0.16754109828611402</v>
      </c>
      <c r="D14" s="14">
        <f>D13/D6</f>
        <v>-0.07115268557634279</v>
      </c>
      <c r="E14" s="14">
        <f>E13/E6</f>
        <v>-0.021244408296055305</v>
      </c>
      <c r="F14" s="14">
        <f>F13/F6</f>
        <v>0.006664295874822191</v>
      </c>
    </row>
    <row r="15">
      <c r="A15" t="inlineStr">
        <is>
          <t xml:space="preserve">   Pretax margin % (reported)</t>
        </is>
      </c>
      <c r="B15" s="10">
        <v>-0.1678</v>
      </c>
      <c r="C15" s="10">
        <v>-0.3325</v>
      </c>
      <c r="D15" s="10">
        <v>-0.2175</v>
      </c>
      <c r="E15" s="10">
        <v>-0.0441</v>
      </c>
      <c r="F15" s="10">
        <v>-0.0333</v>
      </c>
    </row>
    <row r="16">
      <c r="A16" t="inlineStr">
        <is>
          <t xml:space="preserve">Pretax income (loss)</t>
        </is>
      </c>
      <c r="B16" s="15">
        <f>B6*B15</f>
        <v>-982.6368</v>
      </c>
      <c r="C16" s="15">
        <f>C6*C15</f>
        <v>-2851.8525</v>
      </c>
      <c r="D16" s="15">
        <f>D6*D15</f>
        <v>-2162.385</v>
      </c>
      <c r="E16" s="15">
        <f>E6*E15</f>
        <v>-542.2095</v>
      </c>
      <c r="F16" s="15">
        <f>F6*F15</f>
        <v>-468.198</v>
      </c>
    </row>
    <row r="17">
      <c r="A17" t="inlineStr">
        <is>
          <t xml:space="preserve">Net financial result (derived)</t>
        </is>
      </c>
      <c r="B17" s="15">
        <f>B16-B13</f>
        <v>676.3632</v>
      </c>
      <c r="C17" s="15">
        <f>C16-C13</f>
        <v>-1414.8525</v>
      </c>
      <c r="D17" s="15">
        <f>D16-D13</f>
        <v>-1454.9849999999997</v>
      </c>
      <c r="E17" s="15">
        <f>E16-E13</f>
        <v>-281.00950000000006</v>
      </c>
      <c r="F17" s="15">
        <f>F16-F13</f>
        <v>-561.898</v>
      </c>
    </row>
    <row r="18">
      <c r="A18" t="inlineStr">
        <is>
          <t xml:space="preserve">Tax expense &amp; non-controlling interests (derived)</t>
        </is>
      </c>
      <c r="B18" s="15">
        <f>B19-B16</f>
        <v>-141.3632</v>
      </c>
      <c r="C18" s="15">
        <f>C19-C16</f>
        <v>-156.14750000000004</v>
      </c>
      <c r="D18" s="15">
        <f>D19-D16</f>
        <v>-135.61500000000024</v>
      </c>
      <c r="E18" s="15">
        <f>E19-E16</f>
        <v>-340.19049999999993</v>
      </c>
      <c r="F18" s="15">
        <f>F19-F16</f>
        <v>-314.70199999999994</v>
      </c>
    </row>
    <row r="19">
      <c r="A19" s="8" t="inlineStr">
        <is>
          <t xml:space="preserve">Net income (loss)</t>
        </is>
      </c>
      <c r="B19" s="9">
        <v>-1124</v>
      </c>
      <c r="C19" s="9">
        <v>-3008</v>
      </c>
      <c r="D19" s="9">
        <v>-2298</v>
      </c>
      <c r="E19" s="9">
        <v>-882.4</v>
      </c>
      <c r="F19" s="9">
        <v>-782.9</v>
      </c>
    </row>
    <row r="20">
      <c r="A20" t="inlineStr">
        <is>
          <t xml:space="preserve">   Net margin %</t>
        </is>
      </c>
      <c r="B20" s="14">
        <f>B19/B6</f>
        <v>-0.1919398907103825</v>
      </c>
      <c r="C20" s="14">
        <f>C19/C6</f>
        <v>-0.35070537483968756</v>
      </c>
      <c r="D20" s="14">
        <f>D19/D6</f>
        <v>-0.2311406155703078</v>
      </c>
      <c r="E20" s="14">
        <f>E19/E6</f>
        <v>-0.07176901179341195</v>
      </c>
      <c r="F20" s="14">
        <f>F19/F6</f>
        <v>-0.0556827880512091</v>
      </c>
    </row>
    <row r="21">
      <c r="A21" t="inlineStr">
        <is>
          <t xml:space="preserve">   % growth YoY</t>
        </is>
      </c>
      <c r="C21" s="14">
        <f>C19/B19-1</f>
        <v>1.676156583629893</v>
      </c>
      <c r="D21" s="14">
        <f>D19/C19-1</f>
        <v>-0.23603723404255317</v>
      </c>
      <c r="E21" s="14">
        <f>E19/D19-1</f>
        <v>-0.6160139251523064</v>
      </c>
      <c r="F21" s="14">
        <f>F19/E19-1</f>
        <v>-0.11276065276518588</v>
      </c>
    </row>
    <row r="22">
      <c r="A22" t="inlineStr">
        <is>
          <t xml:space="preserve">Diluted EPS (€)</t>
        </is>
      </c>
      <c r="B22" s="11">
        <v>-4.57</v>
      </c>
      <c r="C22" s="11">
        <v>-11.28</v>
      </c>
      <c r="D22" s="11">
        <v>-8.57</v>
      </c>
      <c r="E22" s="11">
        <v>-3.1</v>
      </c>
      <c r="F22" s="11">
        <v>-2.62</v>
      </c>
    </row>
    <row r="23">
      <c r="A23" t="inlineStr">
        <is>
          <t xml:space="preserve">Diluted weighted-avg shares outstanding (m) (derived)</t>
        </is>
      </c>
      <c r="B23" s="16">
        <f>B19/B22</f>
        <v>245.95185995623632</v>
      </c>
      <c r="C23" s="16">
        <f>C19/C22</f>
        <v>266.6666666666667</v>
      </c>
      <c r="D23" s="16">
        <f>D19/D22</f>
        <v>268.14469078179695</v>
      </c>
      <c r="E23" s="16">
        <f>E19/E22</f>
        <v>284.64516129032256</v>
      </c>
      <c r="F23" s="16">
        <f>F19/F22</f>
        <v>298.8167938931297</v>
      </c>
    </row>
    <row r="25">
      <c r="A25" s="5" t="inlineStr">
        <is>
          <t xml:space="preserve">MEMO: ADJUSTED EBITDA (Non-IFRS, Company-Reported)</t>
        </is>
      </c>
      <c r="B25" s="5"/>
      <c r="C25" s="5"/>
      <c r="D25" s="5"/>
      <c r="E25" s="5"/>
      <c r="F25" s="5"/>
    </row>
    <row r="26">
      <c r="A26" t="inlineStr">
        <is>
          <t xml:space="preserve">Adjusted EBITDA (€m)</t>
        </is>
      </c>
      <c r="B26" t="inlineStr">
        <is>
          <t xml:space="preserve">n/d</t>
        </is>
      </c>
      <c r="C26" t="inlineStr">
        <is>
          <t xml:space="preserve">n/d</t>
        </is>
      </c>
      <c r="D26" t="inlineStr">
        <is>
          <t xml:space="preserve">n/d</t>
        </is>
      </c>
      <c r="E26" s="9">
        <v>692.5</v>
      </c>
      <c r="F26" s="9">
        <v>903</v>
      </c>
    </row>
    <row r="27">
      <c r="A27" t="inlineStr">
        <is>
          <t xml:space="preserve">   % growth YoY</t>
        </is>
      </c>
      <c r="F27" s="14">
        <f>F26/E26-1</f>
        <v>0.3039711191335741</v>
      </c>
    </row>
    <row r="28">
      <c r="A28" t="inlineStr">
        <is>
          <t xml:space="preserve">   Adjusted EBITDA margin % of GMV</t>
        </is>
      </c>
      <c r="E28" s="10">
        <v>0.014</v>
      </c>
      <c r="F28" s="10">
        <v>0.018</v>
      </c>
    </row>
    <row r="30" ht="30.01" customHeight="1">
      <c r="A30" s="6" t="inlineStr">
        <is>
          <t xml:space="preserve">Note: Cost of revenue, operating expenses, net financial result, and tax/non-controlling-interest lines are derived residuals that back-solve reported subtotals (Gross Profit, EBIT, Pretax margin %, Net Income); they are not company-disclosed line items at this granularity. Diluted shares outstanding is back-solved (Net Income ÷ diluted EPS) and closely cross-checks against reported weighted-average diluted shares each year.</t>
        </is>
      </c>
      <c r="B30" s="6"/>
      <c r="C30" s="6"/>
      <c r="D30" s="6"/>
      <c r="E30" s="6"/>
      <c r="F30" s="6"/>
    </row>
    <row r="32">
      <c r="A32" s="4" t="inlineStr">
        <is>
          <t xml:space="preserve">REVENUE BY FEE TYPE (IFRS, €m)</t>
        </is>
      </c>
      <c r="B32" s="4"/>
      <c r="C32" s="4"/>
      <c r="D32" s="4"/>
      <c r="E32" s="4"/>
      <c r="F32" s="4"/>
    </row>
    <row r="33">
      <c r="B33" s="3" t="inlineStr">
        <is>
          <t xml:space="preserve">FY2021A</t>
        </is>
      </c>
      <c r="C33" s="3" t="inlineStr">
        <is>
          <t xml:space="preserve">FY2022A</t>
        </is>
      </c>
      <c r="D33" s="3" t="inlineStr">
        <is>
          <t xml:space="preserve">FY2023A</t>
        </is>
      </c>
      <c r="E33" s="3" t="inlineStr">
        <is>
          <t xml:space="preserve">FY2024A</t>
        </is>
      </c>
      <c r="F33" s="3" t="inlineStr">
        <is>
          <t xml:space="preserve">FY2025A</t>
        </is>
      </c>
    </row>
    <row r="34">
      <c r="A34" t="inlineStr">
        <is>
          <t xml:space="preserve">Commission Fees</t>
        </is>
      </c>
      <c r="B34" t="inlineStr">
        <is>
          <t xml:space="preserve">n/d</t>
        </is>
      </c>
      <c r="C34" s="12">
        <v>3681</v>
      </c>
      <c r="D34" s="12">
        <v>4099</v>
      </c>
      <c r="E34" s="12">
        <v>5093</v>
      </c>
      <c r="F34" s="12">
        <v>5791</v>
      </c>
    </row>
    <row r="35">
      <c r="A35" t="inlineStr">
        <is>
          <t xml:space="preserve">Delivery Fees</t>
        </is>
      </c>
      <c r="B35" t="inlineStr">
        <is>
          <t xml:space="preserve">n/d</t>
        </is>
      </c>
      <c r="C35" s="12">
        <v>2202</v>
      </c>
      <c r="D35" s="12">
        <v>2423</v>
      </c>
      <c r="E35" s="12">
        <v>2966</v>
      </c>
      <c r="F35" s="12">
        <v>3309</v>
      </c>
    </row>
    <row r="36">
      <c r="A36" t="inlineStr">
        <is>
          <t xml:space="preserve">Dmarts (Quick Commerce Retail)</t>
        </is>
      </c>
      <c r="B36" t="inlineStr">
        <is>
          <t xml:space="preserve">n/d</t>
        </is>
      </c>
      <c r="C36" s="12">
        <v>1560</v>
      </c>
      <c r="D36" s="12">
        <v>1948</v>
      </c>
      <c r="E36" s="12">
        <v>2445</v>
      </c>
      <c r="F36" s="12">
        <v>2888</v>
      </c>
    </row>
    <row r="37">
      <c r="A37" t="inlineStr">
        <is>
          <t xml:space="preserve">Advertising &amp; Listing Fees</t>
        </is>
      </c>
      <c r="B37" t="inlineStr">
        <is>
          <t xml:space="preserve">n/d</t>
        </is>
      </c>
      <c r="C37" s="12">
        <v>1043</v>
      </c>
      <c r="D37" s="12">
        <v>1260</v>
      </c>
      <c r="E37" s="12">
        <v>1438</v>
      </c>
      <c r="F37" s="12">
        <v>1460</v>
      </c>
    </row>
    <row r="38">
      <c r="A38" t="inlineStr">
        <is>
          <t xml:space="preserve">Service Fees</t>
        </is>
      </c>
      <c r="B38" t="inlineStr">
        <is>
          <t xml:space="preserve">n/d</t>
        </is>
      </c>
      <c r="C38" s="12">
        <v>91.4</v>
      </c>
      <c r="D38" s="12">
        <v>197.8</v>
      </c>
      <c r="E38" s="12">
        <v>322.8</v>
      </c>
      <c r="F38" s="12">
        <v>601</v>
      </c>
    </row>
    <row r="39">
      <c r="A39" t="inlineStr">
        <is>
          <t xml:space="preserve">Payment Fees</t>
        </is>
      </c>
      <c r="B39" t="inlineStr">
        <is>
          <t xml:space="preserve">n/d</t>
        </is>
      </c>
      <c r="C39" s="12">
        <v>509.9</v>
      </c>
      <c r="D39" s="12">
        <v>530.4</v>
      </c>
      <c r="E39" s="12">
        <v>559.7</v>
      </c>
      <c r="F39" s="12">
        <v>540.8</v>
      </c>
    </row>
    <row r="40">
      <c r="A40" t="inlineStr">
        <is>
          <t xml:space="preserve">Subscription Fees</t>
        </is>
      </c>
      <c r="B40" t="inlineStr">
        <is>
          <t xml:space="preserve">n/d</t>
        </is>
      </c>
      <c r="C40" s="12">
        <v>49.5</v>
      </c>
      <c r="D40" s="12">
        <v>91.4</v>
      </c>
      <c r="E40" s="12">
        <v>139.6</v>
      </c>
      <c r="F40" s="12">
        <v>256.9</v>
      </c>
    </row>
    <row r="41">
      <c r="A41" t="inlineStr">
        <is>
          <t xml:space="preserve">Other Segment Revenue</t>
        </is>
      </c>
      <c r="B41" t="inlineStr">
        <is>
          <t xml:space="preserve">n/d</t>
        </is>
      </c>
      <c r="C41" s="12">
        <v>236.2</v>
      </c>
      <c r="D41" s="12">
        <v>242.2</v>
      </c>
      <c r="E41" s="12">
        <v>214.6</v>
      </c>
      <c r="F41" s="12">
        <v>151.2</v>
      </c>
    </row>
    <row r="42">
      <c r="A42" t="inlineStr">
        <is>
          <t xml:space="preserve">Deductions from Vouchers</t>
        </is>
      </c>
      <c r="B42" t="inlineStr">
        <is>
          <t xml:space="preserve">n/d</t>
        </is>
      </c>
      <c r="C42" s="12">
        <v>-794.8</v>
      </c>
      <c r="D42" s="12">
        <v>-849.8</v>
      </c>
      <c r="E42" s="12">
        <v>-884.1</v>
      </c>
      <c r="F42" s="12">
        <v>-937.8</v>
      </c>
    </row>
    <row r="43">
      <c r="A43" s="8" t="inlineStr">
        <is>
          <t xml:space="preserve">Total Revenue (sum of fee types)</t>
        </is>
      </c>
      <c r="C43" s="15">
        <f>SUM(C34:C42)</f>
        <v>8578.2</v>
      </c>
      <c r="D43" s="15">
        <f>SUM(D34:D42)</f>
        <v>9942</v>
      </c>
      <c r="E43" s="15">
        <f>SUM(E34:E42)</f>
        <v>12294.6</v>
      </c>
      <c r="F43" s="15">
        <f>SUM(F34:F42)</f>
        <v>14060.1</v>
      </c>
    </row>
    <row r="44">
      <c r="A44" t="inlineStr">
        <is>
          <t xml:space="preserve">Check: vs. reported Revenue (should be ≈0)</t>
        </is>
      </c>
      <c r="C44" s="15">
        <f>C43-C6</f>
        <v>1.2000000000007276</v>
      </c>
      <c r="D44" s="15">
        <f>D43-D6</f>
        <v>0</v>
      </c>
      <c r="E44" s="15">
        <f>E43-E6</f>
        <v>-0.3999999999996362</v>
      </c>
      <c r="F44" s="15">
        <f>F43-F6</f>
        <v>0.1000000000003638</v>
      </c>
    </row>
    <row r="46">
      <c r="A46" s="5" t="inlineStr">
        <is>
          <t xml:space="preserve">% YoY GROWTH BY FEE TYPE</t>
        </is>
      </c>
      <c r="B46" s="5"/>
      <c r="C46" s="5"/>
      <c r="D46" s="5"/>
      <c r="E46" s="5"/>
      <c r="F46" s="5"/>
    </row>
    <row r="47">
      <c r="A47" t="inlineStr">
        <is>
          <t xml:space="preserve">Commission Fees</t>
        </is>
      </c>
      <c r="C47" t="inlineStr">
        <is>
          <t xml:space="preserve">n/a</t>
        </is>
      </c>
      <c r="D47" s="14">
        <f>D34/C34-1</f>
        <v>0.11355609888617212</v>
      </c>
      <c r="E47" s="14">
        <f>E34/D34-1</f>
        <v>0.2424981702854354</v>
      </c>
      <c r="F47" s="14">
        <f>F34/E34-1</f>
        <v>0.13705085411348916</v>
      </c>
    </row>
    <row r="48">
      <c r="A48" t="inlineStr">
        <is>
          <t xml:space="preserve">Delivery Fees</t>
        </is>
      </c>
      <c r="C48" t="inlineStr">
        <is>
          <t xml:space="preserve">n/a</t>
        </is>
      </c>
      <c r="D48" s="14">
        <f>D35/C35-1</f>
        <v>0.10036330608537702</v>
      </c>
      <c r="E48" s="14">
        <f>E35/D35-1</f>
        <v>0.2241023524556336</v>
      </c>
      <c r="F48" s="14">
        <f>F35/E35-1</f>
        <v>0.11564396493594065</v>
      </c>
    </row>
    <row r="49">
      <c r="A49" t="inlineStr">
        <is>
          <t xml:space="preserve">Dmarts (Quick Commerce Retail)</t>
        </is>
      </c>
      <c r="C49" t="inlineStr">
        <is>
          <t xml:space="preserve">n/a</t>
        </is>
      </c>
      <c r="D49" s="14">
        <f>D36/C36-1</f>
        <v>0.24871794871794872</v>
      </c>
      <c r="E49" s="14">
        <f>E36/D36-1</f>
        <v>0.25513347022587274</v>
      </c>
      <c r="F49" s="14">
        <f>F36/E36-1</f>
        <v>0.18118609406952957</v>
      </c>
    </row>
    <row r="50">
      <c r="A50" t="inlineStr">
        <is>
          <t xml:space="preserve">Advertising &amp; Listing Fees</t>
        </is>
      </c>
      <c r="C50" t="inlineStr">
        <is>
          <t xml:space="preserve">n/a</t>
        </is>
      </c>
      <c r="D50" s="14">
        <f>D37/C37-1</f>
        <v>0.20805369127516785</v>
      </c>
      <c r="E50" s="14">
        <f>E37/D37-1</f>
        <v>0.1412698412698412</v>
      </c>
      <c r="F50" s="14">
        <f>F37/E37-1</f>
        <v>0.015299026425591</v>
      </c>
    </row>
    <row r="51">
      <c r="A51" t="inlineStr">
        <is>
          <t xml:space="preserve">Service Fees</t>
        </is>
      </c>
      <c r="C51" t="inlineStr">
        <is>
          <t xml:space="preserve">n/a</t>
        </is>
      </c>
      <c r="D51" s="14">
        <f>D38/C38-1</f>
        <v>1.164113785557987</v>
      </c>
      <c r="E51" s="14">
        <f>E38/D38-1</f>
        <v>0.6319514661274013</v>
      </c>
      <c r="F51" s="14">
        <f>F38/E38-1</f>
        <v>0.8618339529120198</v>
      </c>
    </row>
    <row r="52">
      <c r="A52" t="inlineStr">
        <is>
          <t xml:space="preserve">Payment Fees</t>
        </is>
      </c>
      <c r="C52" t="inlineStr">
        <is>
          <t xml:space="preserve">n/a</t>
        </is>
      </c>
      <c r="D52" s="14">
        <f>D39/C39-1</f>
        <v>0.04020396156109052</v>
      </c>
      <c r="E52" s="14">
        <f>E39/D39-1</f>
        <v>0.055241327300150855</v>
      </c>
      <c r="F52" s="14">
        <f>F39/E39-1</f>
        <v>-0.03376809004824033</v>
      </c>
    </row>
    <row r="53">
      <c r="A53" t="inlineStr">
        <is>
          <t xml:space="preserve">Subscription Fees</t>
        </is>
      </c>
      <c r="C53" t="inlineStr">
        <is>
          <t xml:space="preserve">n/a</t>
        </is>
      </c>
      <c r="D53" s="14">
        <f>D40/C40-1</f>
        <v>0.8464646464646466</v>
      </c>
      <c r="E53" s="14">
        <f>E40/D40-1</f>
        <v>0.5273522975929976</v>
      </c>
      <c r="F53" s="14">
        <f>F40/E40-1</f>
        <v>0.8402578796561604</v>
      </c>
    </row>
    <row r="54">
      <c r="A54" t="inlineStr">
        <is>
          <t xml:space="preserve">Other Segment Revenue</t>
        </is>
      </c>
      <c r="C54" t="inlineStr">
        <is>
          <t xml:space="preserve">n/a</t>
        </is>
      </c>
      <c r="D54" s="14">
        <f>D41/C41-1</f>
        <v>0.025402201524132195</v>
      </c>
      <c r="E54" s="14">
        <f>E41/D41-1</f>
        <v>-0.11395540875309662</v>
      </c>
      <c r="F54" s="14">
        <f>F41/E41-1</f>
        <v>-0.2954333643988817</v>
      </c>
    </row>
    <row r="55">
      <c r="A55" t="inlineStr">
        <is>
          <t xml:space="preserve">Deductions from Vouchers</t>
        </is>
      </c>
      <c r="C55" t="inlineStr">
        <is>
          <t xml:space="preserve">n/a</t>
        </is>
      </c>
      <c r="D55" s="14">
        <f>D42/C42-1</f>
        <v>0.06919979869149473</v>
      </c>
      <c r="E55" s="14">
        <f>E42/D42-1</f>
        <v>0.04036243822075791</v>
      </c>
      <c r="F55" s="14">
        <f>F42/E42-1</f>
        <v>0.060739735324058186</v>
      </c>
    </row>
    <row r="57" ht="30.01" customHeight="1">
      <c r="A57" s="6" t="inlineStr">
        <is>
          <t xml:space="preserve">Note: FY2021 fee-type breakout not separately disclosed by the Company at this granularity (bundled into fewer categories that year); shown from FY2022A onward. Source: stockanalysis.com aggregated segment revenue disclosure, cross-tied to reported consolidated Revenue in Section A.</t>
        </is>
      </c>
      <c r="B57" s="6"/>
      <c r="C57" s="6"/>
      <c r="D57" s="6"/>
      <c r="E57" s="6"/>
      <c r="F57" s="6"/>
    </row>
    <row r="59">
      <c r="A59" s="4" t="inlineStr">
        <is>
          <t xml:space="preserve">SEGMENT / REGIONAL KPIs (Non-IFRS Operating Metrics, €m)</t>
        </is>
      </c>
      <c r="B59" s="4"/>
      <c r="C59" s="4"/>
      <c r="D59" s="4"/>
      <c r="E59" s="4"/>
      <c r="F59" s="4"/>
    </row>
    <row r="60" ht="30.01" customHeight="1">
      <c r="A60" s="6" t="inlineStr">
        <is>
          <t xml:space="preserve">Company-reported operating KPIs — GMV and Total Segment Revenue are non-IFRS measures distinct from IFRS Revenue in Section A.</t>
        </is>
      </c>
      <c r="B60" s="6"/>
      <c r="C60" s="6"/>
      <c r="D60" s="6"/>
      <c r="E60" s="6"/>
      <c r="F60" s="6"/>
    </row>
    <row r="61">
      <c r="B61" s="3" t="inlineStr">
        <is>
          <t xml:space="preserve">FY2024A</t>
        </is>
      </c>
      <c r="C61" s="3" t="inlineStr">
        <is>
          <t xml:space="preserve">FY2025A</t>
        </is>
      </c>
      <c r="D61" s="3" t="inlineStr">
        <is>
          <t xml:space="preserve">YoY Growth % (Reported Currency)</t>
        </is>
      </c>
    </row>
    <row r="62">
      <c r="A62" s="7" t="inlineStr">
        <is>
          <t xml:space="preserve">GMV by Segment (€m)</t>
        </is>
      </c>
      <c r="B62" s="7"/>
      <c r="C62" s="7"/>
      <c r="D62" s="7"/>
      <c r="E62" s="7"/>
      <c r="F62" s="7"/>
    </row>
    <row r="63">
      <c r="A63" t="inlineStr">
        <is>
          <t xml:space="preserve">Asia</t>
        </is>
      </c>
      <c r="B63" s="12">
        <v>23407.4</v>
      </c>
      <c r="C63" s="12">
        <v>20779.7</v>
      </c>
      <c r="D63" s="14">
        <f>C63/B63-1</f>
        <v>-0.1122593709681554</v>
      </c>
    </row>
    <row r="64">
      <c r="A64" t="inlineStr">
        <is>
          <t xml:space="preserve">MENA</t>
        </is>
      </c>
      <c r="B64" s="12">
        <v>12825.9</v>
      </c>
      <c r="C64" s="12">
        <v>14644.3</v>
      </c>
      <c r="D64" s="14">
        <f>C64/B64-1</f>
        <v>0.14177562588200443</v>
      </c>
    </row>
    <row r="65">
      <c r="A65" t="inlineStr">
        <is>
          <t xml:space="preserve">Europe</t>
        </is>
      </c>
      <c r="B65" s="12">
        <v>8878.7</v>
      </c>
      <c r="C65" s="12">
        <v>9693.2</v>
      </c>
      <c r="D65" s="14">
        <f>C65/B65-1</f>
        <v>0.09173640285176889</v>
      </c>
    </row>
    <row r="66">
      <c r="A66" t="inlineStr">
        <is>
          <t xml:space="preserve">Americas</t>
        </is>
      </c>
      <c r="B66" s="12">
        <v>3642</v>
      </c>
      <c r="C66" s="12">
        <v>4079.6</v>
      </c>
      <c r="D66" s="14">
        <f>C66/B66-1</f>
        <v>0.12015376166941238</v>
      </c>
    </row>
    <row r="67">
      <c r="A67" s="8" t="inlineStr">
        <is>
          <t xml:space="preserve">Group GMV (Platform Segments)</t>
        </is>
      </c>
      <c r="B67" s="13">
        <f>SUM(B63:B66)</f>
        <v>48754</v>
      </c>
      <c r="C67" s="13">
        <f>SUM(C63:C66)</f>
        <v>49196.8</v>
      </c>
      <c r="D67" s="14">
        <f>C67/B67-1</f>
        <v>0.009082331706116388</v>
      </c>
    </row>
    <row r="68">
      <c r="A68" t="inlineStr">
        <is>
          <t xml:space="preserve">Memo: Integrated Verticals GMV (non-additive — reflected within platform-segment GMV)</t>
        </is>
      </c>
      <c r="B68" s="12">
        <v>2904.7</v>
      </c>
      <c r="C68" s="12">
        <v>3432.3</v>
      </c>
      <c r="D68" s="14">
        <f>C68/B68-1</f>
        <v>0.18163665783041297</v>
      </c>
    </row>
    <row r="70">
      <c r="A70" s="7" t="inlineStr">
        <is>
          <t xml:space="preserve">Total Segment Revenue by Segment (€m)</t>
        </is>
      </c>
      <c r="B70" s="7"/>
      <c r="C70" s="7"/>
      <c r="D70" s="7"/>
      <c r="E70" s="7"/>
      <c r="F70" s="7"/>
    </row>
    <row r="71">
      <c r="A71" t="inlineStr">
        <is>
          <t xml:space="preserve">Asia</t>
        </is>
      </c>
      <c r="B71" s="12">
        <v>4071.9</v>
      </c>
      <c r="C71" s="12">
        <v>4417.7</v>
      </c>
      <c r="D71" s="14">
        <f>C71/B71-1</f>
        <v>0.08492350008595495</v>
      </c>
    </row>
    <row r="72">
      <c r="A72" t="inlineStr">
        <is>
          <t xml:space="preserve">MENA</t>
        </is>
      </c>
      <c r="B72" s="12">
        <v>3527.8</v>
      </c>
      <c r="C72" s="12">
        <v>4033.7</v>
      </c>
      <c r="D72" s="14">
        <f>C72/B72-1</f>
        <v>0.1434038210782924</v>
      </c>
    </row>
    <row r="73">
      <c r="A73" t="inlineStr">
        <is>
          <t xml:space="preserve">Europe</t>
        </is>
      </c>
      <c r="B73" s="12">
        <v>1891.9</v>
      </c>
      <c r="C73" s="12">
        <v>2486.3</v>
      </c>
      <c r="D73" s="14">
        <f>C73/B73-1</f>
        <v>0.3141815106506687</v>
      </c>
    </row>
    <row r="74">
      <c r="A74" t="inlineStr">
        <is>
          <t xml:space="preserve">Americas</t>
        </is>
      </c>
      <c r="B74" s="12">
        <v>939.6</v>
      </c>
      <c r="C74" s="12">
        <v>1057.6</v>
      </c>
      <c r="D74" s="14">
        <f>C74/B74-1</f>
        <v>0.12558535547041272</v>
      </c>
    </row>
    <row r="75">
      <c r="A75" t="inlineStr">
        <is>
          <t xml:space="preserve">Integrated Verticals</t>
        </is>
      </c>
      <c r="B75" s="12">
        <v>2709.8</v>
      </c>
      <c r="C75" s="12">
        <v>3189</v>
      </c>
      <c r="D75" s="14">
        <f>C75/B75-1</f>
        <v>0.1768396191600856</v>
      </c>
    </row>
    <row r="76">
      <c r="A76" t="inlineStr">
        <is>
          <t xml:space="preserve">Less: Intersegment consolidation</t>
        </is>
      </c>
      <c r="B76" s="12">
        <v>-344.5</v>
      </c>
      <c r="C76" s="12">
        <v>-380.8</v>
      </c>
      <c r="D76" s="14">
        <f>C76/B76-1</f>
        <v>0.10537010159651672</v>
      </c>
    </row>
    <row r="77">
      <c r="A77" s="8" t="inlineStr">
        <is>
          <t xml:space="preserve">Group Total Segment Revenue</t>
        </is>
      </c>
      <c r="B77" s="13">
        <f>SUM(B71:B76)</f>
        <v>12796.5</v>
      </c>
      <c r="C77" s="13">
        <f>SUM(C71:C76)</f>
        <v>14803.500000000002</v>
      </c>
      <c r="D77" s="14">
        <f>C77/B77-1</f>
        <v>0.1568397608721137</v>
      </c>
    </row>
    <row r="79">
      <c r="A79" s="5" t="inlineStr">
        <is>
          <t xml:space="preserve">Group-Level Growth Rate Detail (Company-Reported, Multiple Bases)</t>
        </is>
      </c>
      <c r="B79" s="5"/>
      <c r="C79" s="5"/>
      <c r="D79" s="5"/>
      <c r="E79" s="5"/>
      <c r="F79" s="5"/>
    </row>
    <row r="80">
      <c r="B80" s="3" t="inlineStr">
        <is>
          <t xml:space="preserve">FY2024 YoY</t>
        </is>
      </c>
      <c r="C80" s="3" t="inlineStr">
        <is>
          <t xml:space="preserve">FY2025 YoY</t>
        </is>
      </c>
    </row>
    <row r="81">
      <c r="A81" t="inlineStr">
        <is>
          <t xml:space="preserve">GMV Group — CC ex-hyperinflation &amp; LFL</t>
        </is>
      </c>
      <c r="B81" s="10">
        <v>0.095</v>
      </c>
      <c r="C81" s="10">
        <v>0.09</v>
      </c>
    </row>
    <row r="82">
      <c r="A82" t="inlineStr">
        <is>
          <t xml:space="preserve">GMV Group — CC ex-hyperinflation</t>
        </is>
      </c>
      <c r="B82" s="10">
        <v>0.083</v>
      </c>
      <c r="C82" s="10">
        <v>0.068</v>
      </c>
    </row>
    <row r="83">
      <c r="A83" t="inlineStr">
        <is>
          <t xml:space="preserve">GMV Group — RC incl. hyperinflation</t>
        </is>
      </c>
      <c r="B83" s="10">
        <v>0.077</v>
      </c>
      <c r="C83" s="10">
        <v>0.009</v>
      </c>
    </row>
    <row r="84">
      <c r="A84" t="inlineStr">
        <is>
          <t xml:space="preserve">Total Segment Revenue Group — CC ex-hyperinflation &amp; LFL</t>
        </is>
      </c>
      <c r="B84" s="10">
        <v>0.226</v>
      </c>
      <c r="C84" s="10">
        <v>0.231</v>
      </c>
    </row>
    <row r="85">
      <c r="A85" t="inlineStr">
        <is>
          <t xml:space="preserve">Total Segment Revenue Group — CC ex-hyperinflation</t>
        </is>
      </c>
      <c r="B85" s="10">
        <v>0.219</v>
      </c>
      <c r="C85" s="10">
        <v>0.225</v>
      </c>
    </row>
    <row r="86">
      <c r="A86" t="inlineStr">
        <is>
          <t xml:space="preserve">Total Segment Revenue Group — RC incl. hyperinflation</t>
        </is>
      </c>
      <c r="B86" s="10">
        <v>0.223</v>
      </c>
      <c r="C86" s="10">
        <v>0.157</v>
      </c>
    </row>
    <row r="88">
      <c r="A88" s="5" t="inlineStr">
        <is>
          <t xml:space="preserve">Adjusted EBITDA (Non-IFRS, Company-Reported)</t>
        </is>
      </c>
      <c r="B88" s="5"/>
      <c r="C88" s="5"/>
      <c r="D88" s="5"/>
      <c r="E88" s="5"/>
      <c r="F88" s="5"/>
    </row>
    <row r="89">
      <c r="B89" s="3" t="inlineStr">
        <is>
          <t xml:space="preserve">FY2024A</t>
        </is>
      </c>
      <c r="C89" s="3" t="inlineStr">
        <is>
          <t xml:space="preserve">FY2025A</t>
        </is>
      </c>
      <c r="D89" s="3" t="inlineStr">
        <is>
          <t xml:space="preserve">YoY Growth %</t>
        </is>
      </c>
    </row>
    <row r="90">
      <c r="A90" s="8" t="inlineStr">
        <is>
          <t xml:space="preserve">Adjusted EBITDA (€m)</t>
        </is>
      </c>
      <c r="B90" s="9">
        <v>692.5</v>
      </c>
      <c r="C90" s="9">
        <v>903</v>
      </c>
      <c r="D90" s="14">
        <f>C90/B90-1</f>
        <v>0.3039711191335741</v>
      </c>
    </row>
    <row r="91">
      <c r="A91" t="inlineStr">
        <is>
          <t xml:space="preserve">   Adjusted EBITDA margin % of GMV</t>
        </is>
      </c>
      <c r="B91" s="10">
        <v>0.014</v>
      </c>
      <c r="C91" s="10">
        <v>0.018</v>
      </c>
    </row>
    <row r="93">
      <c r="A93" s="4" t="inlineStr">
        <is>
          <t xml:space="preserve">SOURCES &amp; NOTES</t>
        </is>
      </c>
      <c r="B93" s="4"/>
      <c r="C93" s="4"/>
      <c r="D93" s="4"/>
      <c r="E93" s="4"/>
      <c r="F93" s="4"/>
    </row>
    <row r="94" ht="30.01" customHeight="1">
      <c r="A94" s="6" t="inlineStr">
        <is>
          <t xml:space="preserve">Consolidated income statement figures (Revenue, Gross Profit, EBIT, Net Income, diluted EPS, Pretax margin %) sourced from Delivery Hero SE audited financial statements as aggregated by stockanalysis.com (S&amp;P Global Market Intelligence), fetched Aug 17, 2026.</t>
        </is>
      </c>
      <c r="B94" s="6"/>
      <c r="C94" s="6"/>
      <c r="D94" s="6"/>
      <c r="E94" s="6"/>
      <c r="F94" s="6"/>
    </row>
    <row r="95" ht="30.01" customHeight="1">
      <c r="A95" s="6" t="inlineStr">
        <is>
          <t xml:space="preserve">Revenue by fee type, GMV and Total Segment Revenue by segment, and Adjusted EBITDA sourced from Delivery Hero SE FY2025 Annual Results press release (published 26-Mar-2026, EQS-News) and Q4/FY2025 trading update (27-Feb-2026).</t>
        </is>
      </c>
      <c r="B95" s="6"/>
      <c r="C95" s="6"/>
      <c r="D95" s="6"/>
      <c r="E95" s="6"/>
      <c r="F95" s="6"/>
    </row>
    <row r="96" ht="30.01" customHeight="1">
      <c r="A96" s="6" t="inlineStr">
        <is>
          <t xml:space="preserve">GMV Group total excludes Integrated Verticals (already reflected within platform-segment GMV); Total Segment Revenue is additive across all 5 segments net of intersegment consolidation. Both are non-IFRS Company KPIs distinct from IFRS Revenue (Section A).</t>
        </is>
      </c>
      <c r="B96" s="6"/>
      <c r="C96" s="6"/>
      <c r="D96" s="6"/>
      <c r="E96" s="6"/>
      <c r="F96" s="6"/>
    </row>
    <row r="97" ht="30.01" customHeight="1">
      <c r="A97" s="6" t="inlineStr">
        <is>
          <t xml:space="preserve">Figures rounded for display; percentages computed on unrounded inputs where formulas are used. Model built Aug 17, 2026.</t>
        </is>
      </c>
      <c r="B97" s="6"/>
      <c r="C97" s="6"/>
      <c r="D97" s="6"/>
      <c r="E97" s="6"/>
      <c r="F97" s="6"/>
    </row>
  </sheetData>
  <mergeCells count="19">
    <mergeCell ref="A1:F1"/>
    <mergeCell ref="A2:F2"/>
    <mergeCell ref="A5:F5"/>
    <mergeCell ref="A25:F25"/>
    <mergeCell ref="A30:F30"/>
    <mergeCell ref="A32:F32"/>
    <mergeCell ref="A46:F46"/>
    <mergeCell ref="A57:F57"/>
    <mergeCell ref="A59:F59"/>
    <mergeCell ref="A60:F60"/>
    <mergeCell ref="A62:F62"/>
    <mergeCell ref="A70:F70"/>
    <mergeCell ref="A79:F79"/>
    <mergeCell ref="A88:F88"/>
    <mergeCell ref="A93:F93"/>
    <mergeCell ref="A94:F94"/>
    <mergeCell ref="A95:F95"/>
    <mergeCell ref="A96:F96"/>
    <mergeCell ref="A97:F9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2026-08-17T23:17:54Z</dcterms:created>
  <dcterms:modified xsi:type="dcterms:W3CDTF">2026-08-17T23:17:54Z</dcterms:modified>
</cp:coreProperties>
</file>