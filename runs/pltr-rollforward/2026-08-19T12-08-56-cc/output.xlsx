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Assumptions" sheetId="2" state="visible" r:id="rId4"/>
    <sheet name="Sources" sheetId="3" state="visible" r:id="rId5"/>
  </sheets>
  <definedNames>
    <definedName function="false" hidden="false" localSheetId="0" name="_xlnm.Print_Titles" vbProcedure="false">'Income Statement'!$1:$5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<sst xmlns="http://schemas.openxmlformats.org/spreadsheetml/2006/main" count="156" uniqueCount="129">
  <si>
    <t xml:space="preserve">Palantir Technologies Inc. (PLTR) — Quarterly Financial Model</t>
  </si>
  <si>
    <t xml:space="preserve">($ in thousands, except per-share data and percentages)  ·  Fiscal year = calendar year</t>
  </si>
  <si>
    <t xml:space="preserve">Legend:  A = Actual (reported)   |   E = Estimate (forecast, formula-driven off the Assumptions tab)   |   Blue font = hardcoded input   |   Black font = formula. See Sources tab for citations.</t>
  </si>
  <si>
    <t xml:space="preserve">FY2025 (Actual)</t>
  </si>
  <si>
    <t xml:space="preserve">FY2026 (Q1–Q2 Actual, Q3–Q4 Estimate)</t>
  </si>
  <si>
    <t xml:space="preserve">FY2027 (Estimate)</t>
  </si>
  <si>
    <t xml:space="preserve">Q1'25A</t>
  </si>
  <si>
    <t xml:space="preserve">Q2'25A</t>
  </si>
  <si>
    <t xml:space="preserve">Q3'25A</t>
  </si>
  <si>
    <t xml:space="preserve">Q4'25A</t>
  </si>
  <si>
    <t xml:space="preserve">FY2025A</t>
  </si>
  <si>
    <t xml:space="preserve">Q1'26A</t>
  </si>
  <si>
    <t xml:space="preserve">Q2'26A</t>
  </si>
  <si>
    <t xml:space="preserve">Q3'26E</t>
  </si>
  <si>
    <t xml:space="preserve">Q4'26E</t>
  </si>
  <si>
    <t xml:space="preserve">FY2026E</t>
  </si>
  <si>
    <t xml:space="preserve">Q1'27E</t>
  </si>
  <si>
    <t xml:space="preserve">Q2'27E</t>
  </si>
  <si>
    <t xml:space="preserve">Q3'27E</t>
  </si>
  <si>
    <t xml:space="preserve">Q4'27E</t>
  </si>
  <si>
    <t xml:space="preserve">FY2027E</t>
  </si>
  <si>
    <t xml:space="preserve">Revenue by Segment</t>
  </si>
  <si>
    <t xml:space="preserve">US Government</t>
  </si>
  <si>
    <t xml:space="preserve">US Commercial</t>
  </si>
  <si>
    <t xml:space="preserve">International Government</t>
  </si>
  <si>
    <t xml:space="preserve">International Commercial</t>
  </si>
  <si>
    <t xml:space="preserve">Total US Revenue</t>
  </si>
  <si>
    <t xml:space="preserve">Total International Revenue</t>
  </si>
  <si>
    <t xml:space="preserve">Total Government Revenue</t>
  </si>
  <si>
    <t xml:space="preserve">Total Commercial Revenue</t>
  </si>
  <si>
    <t xml:space="preserve">Total Revenue</t>
  </si>
  <si>
    <t xml:space="preserve">Check: Total Revenue (US+Intl) less (Gov+Comm) — should tie to 0</t>
  </si>
  <si>
    <t xml:space="preserve">US % of Total Revenue</t>
  </si>
  <si>
    <t xml:space="preserve">International % of Total Revenue</t>
  </si>
  <si>
    <t xml:space="preserve">Government % of Total Revenue</t>
  </si>
  <si>
    <t xml:space="preserve">Commercial % of Total Revenue</t>
  </si>
  <si>
    <t xml:space="preserve">Growth Rates</t>
  </si>
  <si>
    <t xml:space="preserve">Total Revenue — YoY % Growth</t>
  </si>
  <si>
    <t xml:space="preserve">Total Revenue — QoQ % Growth</t>
  </si>
  <si>
    <t xml:space="preserve">US Revenue — YoY % Growth</t>
  </si>
  <si>
    <t xml:space="preserve">International Revenue — YoY % Growth</t>
  </si>
  <si>
    <t xml:space="preserve">Government Revenue — YoY % Growth</t>
  </si>
  <si>
    <t xml:space="preserve">Commercial Revenue — YoY % Growth</t>
  </si>
  <si>
    <t xml:space="preserve">Income Statement</t>
  </si>
  <si>
    <t xml:space="preserve">Cost of Revenue</t>
  </si>
  <si>
    <t xml:space="preserve">Gross Profit</t>
  </si>
  <si>
    <t xml:space="preserve">Gross Margin %</t>
  </si>
  <si>
    <t xml:space="preserve">Sales &amp; Marketing</t>
  </si>
  <si>
    <t xml:space="preserve">% of Revenue</t>
  </si>
  <si>
    <t xml:space="preserve">Research &amp; Development</t>
  </si>
  <si>
    <t xml:space="preserve">General &amp; Administrative</t>
  </si>
  <si>
    <t xml:space="preserve">Total Operating Expenses</t>
  </si>
  <si>
    <t xml:space="preserve">Income from Operations</t>
  </si>
  <si>
    <t xml:space="preserve">Operating Margin %</t>
  </si>
  <si>
    <t xml:space="preserve">Other Income, Net</t>
  </si>
  <si>
    <t xml:space="preserve">Income Before Income Taxes</t>
  </si>
  <si>
    <t xml:space="preserve">Provision for Income Taxes</t>
  </si>
  <si>
    <t xml:space="preserve">Effective Tax Rate %</t>
  </si>
  <si>
    <t xml:space="preserve">Net Income</t>
  </si>
  <si>
    <t xml:space="preserve">Less: Net Income Attributable to Noncontrolling Interests</t>
  </si>
  <si>
    <t xml:space="preserve">Net Income Attributable to Common Stockholders</t>
  </si>
  <si>
    <t xml:space="preserve">Net Margin %</t>
  </si>
  <si>
    <t xml:space="preserve">Diluted Weighted-Average Shares Outstanding (000s)</t>
  </si>
  <si>
    <t xml:space="preserve">Diluted EPS</t>
  </si>
  <si>
    <t xml:space="preserve">Memo: Stock-Based Compensation Expense</t>
  </si>
  <si>
    <t xml:space="preserve">Memo: SBC % of Revenue</t>
  </si>
  <si>
    <t xml:space="preserve">PLTR Model — Assumptions</t>
  </si>
  <si>
    <t xml:space="preserve">Blue font = hardcoded forecast driver (Q3'26E–Q4'27E).  Black font (cols B–H, K, P) = actual/implied ratio computed from the Income Statement tab — shown for context, not an input.</t>
  </si>
  <si>
    <t xml:space="preserve">Growth assumptions are YoY (applied to the same quarter one year prior) to preserve seasonality; ratio assumptions are % of Total Revenue unless noted.</t>
  </si>
  <si>
    <t xml:space="preserve">Revenue Growth Assumptions (YoY %, same quarter prior year)</t>
  </si>
  <si>
    <t xml:space="preserve">US Government Revenue — YoY Growth %</t>
  </si>
  <si>
    <t xml:space="preserve">US Commercial Revenue — YoY Growth %</t>
  </si>
  <si>
    <t xml:space="preserve">International Government Revenue — YoY Growth %</t>
  </si>
  <si>
    <t xml:space="preserve">International Commercial Revenue — YoY Growth %</t>
  </si>
  <si>
    <t xml:space="preserve">Margin &amp; Opex Ratio Assumptions</t>
  </si>
  <si>
    <t xml:space="preserve">Sales &amp; Marketing — % of Revenue</t>
  </si>
  <si>
    <t xml:space="preserve">Research &amp; Development — % of Revenue</t>
  </si>
  <si>
    <t xml:space="preserve">General &amp; Administrative — % of Revenue</t>
  </si>
  <si>
    <t xml:space="preserve">Other Income, Net — % of Revenue</t>
  </si>
  <si>
    <t xml:space="preserve">Stock-Based Compensation — % of Revenue (memo)</t>
  </si>
  <si>
    <t xml:space="preserve">Tax &amp; Capitalization Assumptions</t>
  </si>
  <si>
    <t xml:space="preserve">Effective Tax Rate % (of Pretax Income)</t>
  </si>
  <si>
    <t xml:space="preserve">Net Income Attributable to NCI — % of Net Income</t>
  </si>
  <si>
    <t xml:space="preserve">Diluted Share Count — QoQ Growth %</t>
  </si>
  <si>
    <t xml:space="preserve">Sources</t>
  </si>
  <si>
    <t xml:space="preserve">All FY2025 and Q1 FY2026 actuals in this model are drawn directly from Palantir Technologies Inc.'s SEC filings (Form 10-Q, Form 10-K, and Form 8-K earnings press releases). Figures tie exactly to reported GAAP totals; where a quarterly US Government / US Commercial split is disclosed only as a press-release rounded figure (nearest $1M), the corresponding International Government / International Commercial cell is derived by subtraction from the exact 10-Q/10-K segment total, as noted. Q4 FY2025 US and segment totals are derived as the FY2025 10-K exact annual figure less the sum of the exact Q1–Q3 FY2025 10-Q figures.</t>
  </si>
  <si>
    <t xml:space="preserve">Document</t>
  </si>
  <si>
    <t xml:space="preserve">Filed</t>
  </si>
  <si>
    <t xml:space="preserve">Period Covered</t>
  </si>
  <si>
    <t xml:space="preserve">URL</t>
  </si>
  <si>
    <t xml:space="preserve">Q1 2025 Earnings Press Release (Exhibit 99.1 to Form 8-K)</t>
  </si>
  <si>
    <t xml:space="preserve">2025-05-05</t>
  </si>
  <si>
    <t xml:space="preserve">Q1 FY2025 (ended 3/31/2025)</t>
  </si>
  <si>
    <t xml:space="preserve">https://www.sec.gov/Archives/edgar/data/1321655/000132165525000063/a2025q1ex991pressrelease.htm</t>
  </si>
  <si>
    <t xml:space="preserve">Form 10-Q</t>
  </si>
  <si>
    <t xml:space="preserve">2025-05-06</t>
  </si>
  <si>
    <t xml:space="preserve">https://www.sec.gov/Archives/edgar/data/1321655/000132165525000066/pltr-20250331.htm</t>
  </si>
  <si>
    <t xml:space="preserve">Q2 2025 Earnings Press Release (Exhibit 99.1 to Form 8-K)</t>
  </si>
  <si>
    <t xml:space="preserve">2025-08-04</t>
  </si>
  <si>
    <t xml:space="preserve">Q2 FY2025 (ended 6/30/2025)</t>
  </si>
  <si>
    <t xml:space="preserve">https://www.sec.gov/Archives/edgar/data/1321655/000132165525000105/a2025q2ex991pressrelease.htm</t>
  </si>
  <si>
    <t xml:space="preserve">https://www.sec.gov/Archives/edgar/data/1321655/000132165525000106/pltr-20250630.htm</t>
  </si>
  <si>
    <t xml:space="preserve">Q3 2025 Earnings Press Release (Exhibit 99.1 to Form 8-K)</t>
  </si>
  <si>
    <t xml:space="preserve">2025-11-03</t>
  </si>
  <si>
    <t xml:space="preserve">Q3 FY2025 (ended 9/30/2025)</t>
  </si>
  <si>
    <t xml:space="preserve">https://www.sec.gov/Archives/edgar/data/1321655/000132165525000130/a2025q3ex991earningsrelease.htm</t>
  </si>
  <si>
    <t xml:space="preserve">2025-11-04</t>
  </si>
  <si>
    <t xml:space="preserve">https://www.sec.gov/Archives/edgar/data/1321655/000132165525000131/pltr-20250930.htm</t>
  </si>
  <si>
    <t xml:space="preserve">Q4 &amp; FY2025 Earnings Press Release (Exhibit 99.1 to Form 8-K)</t>
  </si>
  <si>
    <t xml:space="preserve">2026-02-02</t>
  </si>
  <si>
    <t xml:space="preserve">Q4 &amp; FY2025 (ended 12/31/2025)</t>
  </si>
  <si>
    <t xml:space="preserve">https://www.sec.gov/Archives/edgar/data/1321655/000132165526000004/a2025q4ex991earningsrelease.htm</t>
  </si>
  <si>
    <t xml:space="preserve">Form 10-K</t>
  </si>
  <si>
    <t xml:space="preserve">2026-02-17</t>
  </si>
  <si>
    <t xml:space="preserve">FY2025 (ended 12/31/2025)</t>
  </si>
  <si>
    <t xml:space="preserve">https://www.sec.gov/Archives/edgar/data/1321655/000132165526000011/pltr-20251231.htm</t>
  </si>
  <si>
    <t xml:space="preserve">Q1 2026 Earnings Press Release (Exhibit 99.1 to Form 8-K)</t>
  </si>
  <si>
    <t xml:space="preserve">2026-05-04</t>
  </si>
  <si>
    <t xml:space="preserve">Q1 FY2026 (ended 3/31/2026)</t>
  </si>
  <si>
    <t xml:space="preserve">https://www.sec.gov/Archives/edgar/data/1321655/000132165526000026/a2026q1ex991pressrelease.htm</t>
  </si>
  <si>
    <t xml:space="preserve">2026-05-05</t>
  </si>
  <si>
    <t xml:space="preserve">https://www.sec.gov/Archives/edgar/data/1321655/000132165526000028/pltr-20260331.htm</t>
  </si>
  <si>
    <t xml:space="preserve">Forecast methodology</t>
  </si>
  <si>
    <t xml:space="preserve">•  Q2 FY2026 revenue and margin assumptions are calibrated to Palantir's own Q2 FY2026 guidance ($1.797B–$1.801B revenue; $1.063B–$1.067B adjusted income from operations) and FY2026 guidance ($7.650B–$7.662B revenue, raised at the Q1 2026 release), both disclosed in the Q1 2026 earnings press release (source above).</t>
  </si>
  <si>
    <t xml:space="preserve">•  Q3 FY2026–Q4 FY2027 have no company guidance; each segment's YoY growth rate is projected to decelerate gradually from its Q1/Q2 FY2026 pace — consistent with Palantir's realized deceleration curve through FY2025–FY2026 — and is applied to the same quarter one year prior (not compounded quarter-over-quarter) to preserve each segment's seasonal pattern.</t>
  </si>
  <si>
    <t xml:space="preserve">•  Gross margin, opex ratios (S&amp;M/R&amp;D/G&amp;A as % of revenue), and SBC % of revenue are extrapolated along their observed FY2025–Q1 FY2026 operating-leverage trend lines.</t>
  </si>
  <si>
    <t xml:space="preserve">•  The effective tax rate is held near its FY2025 GAAP level (~1.4%) given Palantir's disclosed full valuation allowance against U.S./U.K. deferred tax assets (Form 10-K, Note on Income Taxes) — no valuation-allowance release is assumed.</t>
  </si>
  <si>
    <t xml:space="preserve">•  Diluted share count is grown at a modest sequential rate consistent with the FY2025–Q1 FY2026 realized trend (~0.2%/quarter).</t>
  </si>
  <si>
    <t xml:space="preserve">•  All forecast figures (Q2 FY2026–Q4 FY2027) are Gridpath-modeled estimates, not Palantir guidance or analyst consensus, except where a cell is explicitly calibrated to guidance as noted above.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</si>
</sst>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%"/>
    <numFmt numFmtId="168" formatCode="\$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i val="true"/>
      <sz val="9"/>
      <color rgb="FF1F4E79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9"/>
      <name val="Cambria"/>
      <family val="0"/>
      <charset val="1"/>
    </font>
    <font>
      <u val="single"/>
      <sz val="9"/>
      <color rgb="FF0563C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DED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6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2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2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16" min="2" style="1" width="12.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B4" s="4" t="s">
        <v>3</v>
      </c>
      <c r="C4" s="4"/>
      <c r="D4" s="4"/>
      <c r="E4" s="4"/>
      <c r="F4" s="4"/>
      <c r="G4" s="4" t="s">
        <v>4</v>
      </c>
      <c r="H4" s="4"/>
      <c r="I4" s="4"/>
      <c r="J4" s="4"/>
      <c r="K4" s="4"/>
      <c r="L4" s="4" t="s">
        <v>5</v>
      </c>
      <c r="M4" s="4"/>
      <c r="N4" s="4"/>
      <c r="O4" s="4"/>
      <c r="P4" s="4"/>
    </row>
    <row r="5" customFormat="false" ht="15.75" hidden="false" customHeight="true" outlineLevel="0" collapsed="false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</row>
    <row r="7" customFormat="false" ht="15.75" hidden="false" customHeight="true" outlineLevel="0" collapsed="false">
      <c r="A7" s="6" t="s">
        <v>21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false" ht="15" hidden="false" customHeight="false" outlineLevel="0" collapsed="false">
      <c r="A8" s="7" t="s">
        <v>22</v>
      </c>
      <c r="B8" s="8" t="n">
        <v>373000</v>
      </c>
      <c r="C8" s="8" t="n">
        <v>426100</v>
      </c>
      <c r="D8" s="8" t="n">
        <v>486000</v>
      </c>
      <c r="E8" s="8" t="n">
        <v>570000</v>
      </c>
      <c r="F8" s="9" t="n">
        <f aca="false">B8+C8+D8+E8</f>
        <v>1855100</v>
      </c>
      <c r="G8" s="8" t="n">
        <v>687000</v>
      </c>
      <c r="H8" s="8" t="n">
        <v>809000</v>
      </c>
      <c r="I8" s="9" t="n">
        <f aca="false">D8*(1+Assumptions!I8)</f>
        <v>801900</v>
      </c>
      <c r="J8" s="9" t="n">
        <f aca="false">E8*(1+Assumptions!J8)</f>
        <v>883500</v>
      </c>
      <c r="K8" s="9" t="n">
        <f aca="false">G8+H8+I8+J8</f>
        <v>3181400</v>
      </c>
      <c r="L8" s="9" t="n">
        <f aca="false">G8*(1+Assumptions!L8)</f>
        <v>996150</v>
      </c>
      <c r="M8" s="9" t="n">
        <f aca="false">H8*(1+Assumptions!M8)</f>
        <v>1132600</v>
      </c>
      <c r="N8" s="9" t="n">
        <f aca="false">I8*(1+Assumptions!N8)</f>
        <v>1082565</v>
      </c>
      <c r="O8" s="9" t="n">
        <f aca="false">J8*(1+Assumptions!O8)</f>
        <v>1148550</v>
      </c>
      <c r="P8" s="9" t="n">
        <f aca="false">L8+M8+N8+O8</f>
        <v>4359865</v>
      </c>
    </row>
    <row r="9" customFormat="false" ht="15" hidden="false" customHeight="false" outlineLevel="0" collapsed="false">
      <c r="A9" s="7" t="s">
        <v>23</v>
      </c>
      <c r="B9" s="8" t="n">
        <v>255000</v>
      </c>
      <c r="C9" s="8" t="n">
        <v>306500</v>
      </c>
      <c r="D9" s="8" t="n">
        <v>397000</v>
      </c>
      <c r="E9" s="8" t="n">
        <v>507000</v>
      </c>
      <c r="F9" s="9" t="n">
        <f aca="false">B9+C9+D9+E9</f>
        <v>1465500</v>
      </c>
      <c r="G9" s="8" t="n">
        <v>595000</v>
      </c>
      <c r="H9" s="8" t="n">
        <v>764000</v>
      </c>
      <c r="I9" s="9" t="n">
        <f aca="false">D9*(1+Assumptions!I9)</f>
        <v>794000</v>
      </c>
      <c r="J9" s="9" t="n">
        <f aca="false">E9*(1+Assumptions!J9)</f>
        <v>937950</v>
      </c>
      <c r="K9" s="9" t="n">
        <f aca="false">G9+H9+I9+J9</f>
        <v>3090950</v>
      </c>
      <c r="L9" s="9" t="n">
        <f aca="false">G9*(1+Assumptions!L9)</f>
        <v>1011500</v>
      </c>
      <c r="M9" s="9" t="n">
        <f aca="false">H9*(1+Assumptions!M9)</f>
        <v>1222400</v>
      </c>
      <c r="N9" s="9" t="n">
        <f aca="false">I9*(1+Assumptions!N9)</f>
        <v>1206880</v>
      </c>
      <c r="O9" s="9" t="n">
        <f aca="false">J9*(1+Assumptions!O9)</f>
        <v>1360027.5</v>
      </c>
      <c r="P9" s="9" t="n">
        <f aca="false">L9+M9+N9+O9</f>
        <v>4800807.5</v>
      </c>
    </row>
    <row r="10" customFormat="false" ht="15" hidden="false" customHeight="false" outlineLevel="0" collapsed="false">
      <c r="A10" s="7" t="s">
        <v>24</v>
      </c>
      <c r="B10" s="8" t="n">
        <v>113963</v>
      </c>
      <c r="C10" s="8" t="n">
        <v>126883</v>
      </c>
      <c r="D10" s="8" t="n">
        <v>146676</v>
      </c>
      <c r="E10" s="8" t="n">
        <v>159665</v>
      </c>
      <c r="F10" s="9" t="n">
        <f aca="false">B10+C10+D10+E10</f>
        <v>547187</v>
      </c>
      <c r="G10" s="8" t="n">
        <v>171410</v>
      </c>
      <c r="H10" s="8" t="n">
        <v>181032</v>
      </c>
      <c r="I10" s="9" t="n">
        <f aca="false">D10*(1+Assumptions!I10)</f>
        <v>208279.92</v>
      </c>
      <c r="J10" s="9" t="n">
        <f aca="false">E10*(1+Assumptions!J10)</f>
        <v>220337.7</v>
      </c>
      <c r="K10" s="9" t="n">
        <f aca="false">G10+H10+I10+J10</f>
        <v>781059.62</v>
      </c>
      <c r="L10" s="9" t="n">
        <f aca="false">G10*(1+Assumptions!L10)</f>
        <v>229689.4</v>
      </c>
      <c r="M10" s="9" t="n">
        <f aca="false">H10*(1+Assumptions!M10)</f>
        <v>235341.6</v>
      </c>
      <c r="N10" s="9" t="n">
        <f aca="false">I10*(1+Assumptions!N10)</f>
        <v>264515.4984</v>
      </c>
      <c r="O10" s="9" t="n">
        <f aca="false">J10*(1+Assumptions!O10)</f>
        <v>273218.748</v>
      </c>
      <c r="P10" s="9" t="n">
        <f aca="false">L10+M10+N10+O10</f>
        <v>1002765.2464</v>
      </c>
    </row>
    <row r="11" customFormat="false" ht="15" hidden="false" customHeight="false" outlineLevel="0" collapsed="false">
      <c r="A11" s="7" t="s">
        <v>25</v>
      </c>
      <c r="B11" s="8" t="n">
        <v>141892</v>
      </c>
      <c r="C11" s="8" t="n">
        <v>144214</v>
      </c>
      <c r="D11" s="8" t="n">
        <v>151416</v>
      </c>
      <c r="E11" s="8" t="n">
        <v>170137</v>
      </c>
      <c r="F11" s="9" t="n">
        <f aca="false">B11+C11+D11+E11</f>
        <v>607659</v>
      </c>
      <c r="G11" s="8" t="n">
        <v>179173</v>
      </c>
      <c r="H11" s="8" t="n">
        <v>181432</v>
      </c>
      <c r="I11" s="9" t="n">
        <f aca="false">D11*(1+Assumptions!I11)</f>
        <v>199869.12</v>
      </c>
      <c r="J11" s="9" t="n">
        <f aca="false">E11*(1+Assumptions!J11)</f>
        <v>227983.58</v>
      </c>
      <c r="K11" s="9" t="n">
        <f aca="false">G11+H11+I11+J11</f>
        <v>788457.7</v>
      </c>
      <c r="L11" s="9" t="n">
        <f aca="false">G11*(1+Assumptions!L11)</f>
        <v>241883.55</v>
      </c>
      <c r="M11" s="9" t="n">
        <f aca="false">H11*(1+Assumptions!M11)</f>
        <v>244933.2</v>
      </c>
      <c r="N11" s="9" t="n">
        <f aca="false">I11*(1+Assumptions!N11)</f>
        <v>265825.9296</v>
      </c>
      <c r="O11" s="9" t="n">
        <f aca="false">J11*(1+Assumptions!O11)</f>
        <v>296378.654</v>
      </c>
      <c r="P11" s="9" t="n">
        <f aca="false">L11+M11+N11+O11</f>
        <v>1049021.3336</v>
      </c>
    </row>
    <row r="13" customFormat="false" ht="15" hidden="false" customHeight="false" outlineLevel="0" collapsed="false">
      <c r="A13" s="10" t="s">
        <v>26</v>
      </c>
      <c r="B13" s="11" t="n">
        <f aca="false">B8+B9</f>
        <v>628000</v>
      </c>
      <c r="C13" s="11" t="n">
        <f aca="false">C8+C9</f>
        <v>732600</v>
      </c>
      <c r="D13" s="11" t="n">
        <f aca="false">D8+D9</f>
        <v>883000</v>
      </c>
      <c r="E13" s="11" t="n">
        <f aca="false">E8+E9</f>
        <v>1077000</v>
      </c>
      <c r="F13" s="11" t="n">
        <f aca="false">F8+F9</f>
        <v>3320600</v>
      </c>
      <c r="G13" s="11" t="n">
        <f aca="false">G8+G9</f>
        <v>1282000</v>
      </c>
      <c r="H13" s="11" t="n">
        <f aca="false">H8+H9</f>
        <v>1573000</v>
      </c>
      <c r="I13" s="11" t="n">
        <f aca="false">I8+I9</f>
        <v>1595900</v>
      </c>
      <c r="J13" s="11" t="n">
        <f aca="false">J8+J9</f>
        <v>1821450</v>
      </c>
      <c r="K13" s="11" t="n">
        <f aca="false">K8+K9</f>
        <v>6272350</v>
      </c>
      <c r="L13" s="11" t="n">
        <f aca="false">L8+L9</f>
        <v>2007650</v>
      </c>
      <c r="M13" s="11" t="n">
        <f aca="false">M8+M9</f>
        <v>2355000</v>
      </c>
      <c r="N13" s="11" t="n">
        <f aca="false">N8+N9</f>
        <v>2289445</v>
      </c>
      <c r="O13" s="11" t="n">
        <f aca="false">O8+O9</f>
        <v>2508577.5</v>
      </c>
      <c r="P13" s="11" t="n">
        <f aca="false">P8+P9</f>
        <v>9160672.5</v>
      </c>
    </row>
    <row r="14" customFormat="false" ht="15" hidden="false" customHeight="false" outlineLevel="0" collapsed="false">
      <c r="A14" s="10" t="s">
        <v>27</v>
      </c>
      <c r="B14" s="11" t="n">
        <f aca="false">B10+B11</f>
        <v>255855</v>
      </c>
      <c r="C14" s="11" t="n">
        <f aca="false">C10+C11</f>
        <v>271097</v>
      </c>
      <c r="D14" s="11" t="n">
        <f aca="false">D10+D11</f>
        <v>298092</v>
      </c>
      <c r="E14" s="11" t="n">
        <f aca="false">E10+E11</f>
        <v>329802</v>
      </c>
      <c r="F14" s="11" t="n">
        <f aca="false">F10+F11</f>
        <v>1154846</v>
      </c>
      <c r="G14" s="11" t="n">
        <f aca="false">G10+G11</f>
        <v>350583</v>
      </c>
      <c r="H14" s="11" t="n">
        <f aca="false">H10+H11</f>
        <v>362464</v>
      </c>
      <c r="I14" s="11" t="n">
        <f aca="false">I10+I11</f>
        <v>408149.04</v>
      </c>
      <c r="J14" s="11" t="n">
        <f aca="false">J10+J11</f>
        <v>448321.28</v>
      </c>
      <c r="K14" s="11" t="n">
        <f aca="false">K10+K11</f>
        <v>1569517.32</v>
      </c>
      <c r="L14" s="11" t="n">
        <f aca="false">L10+L11</f>
        <v>471572.95</v>
      </c>
      <c r="M14" s="11" t="n">
        <f aca="false">M10+M11</f>
        <v>480274.8</v>
      </c>
      <c r="N14" s="11" t="n">
        <f aca="false">N10+N11</f>
        <v>530341.428</v>
      </c>
      <c r="O14" s="11" t="n">
        <f aca="false">O10+O11</f>
        <v>569597.402</v>
      </c>
      <c r="P14" s="11" t="n">
        <f aca="false">P10+P11</f>
        <v>2051786.58</v>
      </c>
    </row>
    <row r="15" customFormat="false" ht="15" hidden="false" customHeight="false" outlineLevel="0" collapsed="false">
      <c r="A15" s="10" t="s">
        <v>28</v>
      </c>
      <c r="B15" s="11" t="n">
        <f aca="false">B8+B10</f>
        <v>486963</v>
      </c>
      <c r="C15" s="11" t="n">
        <f aca="false">C8+C10</f>
        <v>552983</v>
      </c>
      <c r="D15" s="11" t="n">
        <f aca="false">D8+D10</f>
        <v>632676</v>
      </c>
      <c r="E15" s="11" t="n">
        <f aca="false">E8+E10</f>
        <v>729665</v>
      </c>
      <c r="F15" s="11" t="n">
        <f aca="false">F8+F10</f>
        <v>2402287</v>
      </c>
      <c r="G15" s="11" t="n">
        <f aca="false">G8+G10</f>
        <v>858410</v>
      </c>
      <c r="H15" s="11" t="n">
        <f aca="false">H8+H10</f>
        <v>990032</v>
      </c>
      <c r="I15" s="11" t="n">
        <f aca="false">I8+I10</f>
        <v>1010179.92</v>
      </c>
      <c r="J15" s="11" t="n">
        <f aca="false">J8+J10</f>
        <v>1103837.7</v>
      </c>
      <c r="K15" s="11" t="n">
        <f aca="false">K8+K10</f>
        <v>3962459.62</v>
      </c>
      <c r="L15" s="11" t="n">
        <f aca="false">L8+L10</f>
        <v>1225839.4</v>
      </c>
      <c r="M15" s="11" t="n">
        <f aca="false">M8+M10</f>
        <v>1367941.6</v>
      </c>
      <c r="N15" s="11" t="n">
        <f aca="false">N8+N10</f>
        <v>1347080.4984</v>
      </c>
      <c r="O15" s="11" t="n">
        <f aca="false">O8+O10</f>
        <v>1421768.748</v>
      </c>
      <c r="P15" s="11" t="n">
        <f aca="false">P8+P10</f>
        <v>5362630.2464</v>
      </c>
    </row>
    <row r="16" customFormat="false" ht="15" hidden="false" customHeight="false" outlineLevel="0" collapsed="false">
      <c r="A16" s="10" t="s">
        <v>29</v>
      </c>
      <c r="B16" s="11" t="n">
        <f aca="false">B9+B11</f>
        <v>396892</v>
      </c>
      <c r="C16" s="11" t="n">
        <f aca="false">C9+C11</f>
        <v>450714</v>
      </c>
      <c r="D16" s="11" t="n">
        <f aca="false">D9+D11</f>
        <v>548416</v>
      </c>
      <c r="E16" s="11" t="n">
        <f aca="false">E9+E11</f>
        <v>677137</v>
      </c>
      <c r="F16" s="11" t="n">
        <f aca="false">F9+F11</f>
        <v>2073159</v>
      </c>
      <c r="G16" s="11" t="n">
        <f aca="false">G9+G11</f>
        <v>774173</v>
      </c>
      <c r="H16" s="11" t="n">
        <f aca="false">H9+H11</f>
        <v>945432</v>
      </c>
      <c r="I16" s="11" t="n">
        <f aca="false">I9+I11</f>
        <v>993869.12</v>
      </c>
      <c r="J16" s="11" t="n">
        <f aca="false">J9+J11</f>
        <v>1165933.58</v>
      </c>
      <c r="K16" s="11" t="n">
        <f aca="false">K9+K11</f>
        <v>3879407.7</v>
      </c>
      <c r="L16" s="11" t="n">
        <f aca="false">L9+L11</f>
        <v>1253383.55</v>
      </c>
      <c r="M16" s="11" t="n">
        <f aca="false">M9+M11</f>
        <v>1467333.2</v>
      </c>
      <c r="N16" s="11" t="n">
        <f aca="false">N9+N11</f>
        <v>1472705.9296</v>
      </c>
      <c r="O16" s="11" t="n">
        <f aca="false">O9+O11</f>
        <v>1656406.154</v>
      </c>
      <c r="P16" s="11" t="n">
        <f aca="false">P9+P11</f>
        <v>5849828.8336</v>
      </c>
    </row>
    <row r="17" customFormat="false" ht="15" hidden="false" customHeight="false" outlineLevel="0" collapsed="false">
      <c r="A17" s="12" t="s">
        <v>30</v>
      </c>
      <c r="B17" s="13" t="n">
        <f aca="false">B13+B14</f>
        <v>883855</v>
      </c>
      <c r="C17" s="13" t="n">
        <f aca="false">C13+C14</f>
        <v>1003697</v>
      </c>
      <c r="D17" s="13" t="n">
        <f aca="false">D13+D14</f>
        <v>1181092</v>
      </c>
      <c r="E17" s="13" t="n">
        <f aca="false">E13+E14</f>
        <v>1406802</v>
      </c>
      <c r="F17" s="13" t="n">
        <f aca="false">F13+F14</f>
        <v>4475446</v>
      </c>
      <c r="G17" s="13" t="n">
        <f aca="false">G13+G14</f>
        <v>1632583</v>
      </c>
      <c r="H17" s="13" t="n">
        <f aca="false">H13+H14</f>
        <v>1935464</v>
      </c>
      <c r="I17" s="13" t="n">
        <f aca="false">I13+I14</f>
        <v>2004049.04</v>
      </c>
      <c r="J17" s="13" t="n">
        <f aca="false">J13+J14</f>
        <v>2269771.28</v>
      </c>
      <c r="K17" s="13" t="n">
        <f aca="false">K13+K14</f>
        <v>7841867.32</v>
      </c>
      <c r="L17" s="13" t="n">
        <f aca="false">L13+L14</f>
        <v>2479222.95</v>
      </c>
      <c r="M17" s="13" t="n">
        <f aca="false">M13+M14</f>
        <v>2835274.8</v>
      </c>
      <c r="N17" s="13" t="n">
        <f aca="false">N13+N14</f>
        <v>2819786.428</v>
      </c>
      <c r="O17" s="13" t="n">
        <f aca="false">O13+O14</f>
        <v>3078174.902</v>
      </c>
      <c r="P17" s="13" t="n">
        <f aca="false">P13+P14</f>
        <v>11212459.08</v>
      </c>
    </row>
    <row r="18" customFormat="false" ht="15" hidden="false" customHeight="false" outlineLevel="0" collapsed="false">
      <c r="A18" s="14" t="s">
        <v>31</v>
      </c>
      <c r="B18" s="15" t="n">
        <f aca="false">B17-(B15+B16)</f>
        <v>0</v>
      </c>
      <c r="C18" s="15" t="n">
        <f aca="false">C17-(C15+C16)</f>
        <v>0</v>
      </c>
      <c r="D18" s="15" t="n">
        <f aca="false">D17-(D15+D16)</f>
        <v>0</v>
      </c>
      <c r="E18" s="15" t="n">
        <f aca="false">E17-(E15+E16)</f>
        <v>0</v>
      </c>
      <c r="F18" s="15" t="n">
        <f aca="false">F17-(F15+F16)</f>
        <v>0</v>
      </c>
      <c r="G18" s="15" t="n">
        <f aca="false">G17-(G15+G16)</f>
        <v>0</v>
      </c>
      <c r="H18" s="15" t="n">
        <f aca="false">H17-(H15+H16)</f>
        <v>0</v>
      </c>
      <c r="I18" s="15" t="n">
        <f aca="false">I17-(I15+I16)</f>
        <v>0</v>
      </c>
      <c r="J18" s="15" t="n">
        <f aca="false">J17-(J15+J16)</f>
        <v>0</v>
      </c>
      <c r="K18" s="15" t="n">
        <f aca="false">K17-(K15+K16)</f>
        <v>0</v>
      </c>
      <c r="L18" s="15" t="n">
        <f aca="false">L17-(L15+L16)</f>
        <v>0</v>
      </c>
      <c r="M18" s="15" t="n">
        <f aca="false">M17-(M15+M16)</f>
        <v>0</v>
      </c>
      <c r="N18" s="15" t="n">
        <f aca="false">N17-(N15+N16)</f>
        <v>0</v>
      </c>
      <c r="O18" s="15" t="n">
        <f aca="false">O17-(O15+O16)</f>
        <v>0</v>
      </c>
      <c r="P18" s="15" t="n">
        <f aca="false">P17-(P15+P16)</f>
        <v>0</v>
      </c>
    </row>
    <row r="20" customFormat="false" ht="15" hidden="false" customHeight="false" outlineLevel="0" collapsed="false">
      <c r="A20" s="7" t="s">
        <v>32</v>
      </c>
      <c r="B20" s="16" t="n">
        <f aca="false">B13/B17</f>
        <v>0.710523785009985</v>
      </c>
      <c r="C20" s="16" t="n">
        <f aca="false">C13/C17</f>
        <v>0.729901553955028</v>
      </c>
      <c r="D20" s="16" t="n">
        <f aca="false">D13/D17</f>
        <v>0.7476132257267</v>
      </c>
      <c r="E20" s="16" t="n">
        <f aca="false">E13/E17</f>
        <v>0.765566156431396</v>
      </c>
      <c r="F20" s="16" t="n">
        <f aca="false">F13/F17</f>
        <v>0.741959572297376</v>
      </c>
      <c r="G20" s="16" t="n">
        <f aca="false">G13/G17</f>
        <v>0.785258697413853</v>
      </c>
      <c r="H20" s="16" t="n">
        <f aca="false">H13/H17</f>
        <v>0.812725010643443</v>
      </c>
      <c r="I20" s="16" t="n">
        <f aca="false">I13/I17</f>
        <v>0.796337798200787</v>
      </c>
      <c r="J20" s="16" t="n">
        <f aca="false">J13/J17</f>
        <v>0.802481737278833</v>
      </c>
      <c r="K20" s="16" t="n">
        <f aca="false">K13/K17</f>
        <v>0.799854134741979</v>
      </c>
      <c r="L20" s="16" t="n">
        <f aca="false">L13/L17</f>
        <v>0.809790019086424</v>
      </c>
      <c r="M20" s="16" t="n">
        <f aca="false">M13/M17</f>
        <v>0.830607318909617</v>
      </c>
      <c r="N20" s="16" t="n">
        <f aca="false">N13/N17</f>
        <v>0.811921419745198</v>
      </c>
      <c r="O20" s="16" t="n">
        <f aca="false">O13/O17</f>
        <v>0.814956128181699</v>
      </c>
      <c r="P20" s="16" t="n">
        <f aca="false">P13/P17</f>
        <v>0.817008332841113</v>
      </c>
    </row>
    <row r="21" customFormat="false" ht="15" hidden="false" customHeight="false" outlineLevel="0" collapsed="false">
      <c r="A21" s="7" t="s">
        <v>33</v>
      </c>
      <c r="B21" s="16" t="n">
        <f aca="false">B14/B17</f>
        <v>0.289476214990015</v>
      </c>
      <c r="C21" s="16" t="n">
        <f aca="false">C14/C17</f>
        <v>0.270098446044972</v>
      </c>
      <c r="D21" s="16" t="n">
        <f aca="false">D14/D17</f>
        <v>0.2523867742733</v>
      </c>
      <c r="E21" s="16" t="n">
        <f aca="false">E14/E17</f>
        <v>0.234433843568605</v>
      </c>
      <c r="F21" s="16" t="n">
        <f aca="false">F14/F17</f>
        <v>0.258040427702625</v>
      </c>
      <c r="G21" s="16" t="n">
        <f aca="false">G14/G17</f>
        <v>0.214741302586147</v>
      </c>
      <c r="H21" s="16" t="n">
        <f aca="false">H14/H17</f>
        <v>0.187274989356557</v>
      </c>
      <c r="I21" s="16" t="n">
        <f aca="false">I14/I17</f>
        <v>0.203662201799213</v>
      </c>
      <c r="J21" s="16" t="n">
        <f aca="false">J14/J17</f>
        <v>0.197518262721167</v>
      </c>
      <c r="K21" s="16" t="n">
        <f aca="false">K14/K17</f>
        <v>0.200145865258021</v>
      </c>
      <c r="L21" s="16" t="n">
        <f aca="false">L14/L17</f>
        <v>0.190209980913576</v>
      </c>
      <c r="M21" s="16" t="n">
        <f aca="false">M14/M17</f>
        <v>0.169392681090383</v>
      </c>
      <c r="N21" s="16" t="n">
        <f aca="false">N14/N17</f>
        <v>0.188078580254802</v>
      </c>
      <c r="O21" s="16" t="n">
        <f aca="false">O14/O17</f>
        <v>0.185043871818301</v>
      </c>
      <c r="P21" s="16" t="n">
        <f aca="false">P14/P17</f>
        <v>0.182991667158887</v>
      </c>
    </row>
    <row r="22" customFormat="false" ht="15" hidden="false" customHeight="false" outlineLevel="0" collapsed="false">
      <c r="A22" s="7" t="s">
        <v>34</v>
      </c>
      <c r="B22" s="16" t="n">
        <f aca="false">B15/B17</f>
        <v>0.550953493502894</v>
      </c>
      <c r="C22" s="16" t="n">
        <f aca="false">C15/C17</f>
        <v>0.550946152075776</v>
      </c>
      <c r="D22" s="16" t="n">
        <f aca="false">D15/D17</f>
        <v>0.535670379614797</v>
      </c>
      <c r="E22" s="16" t="n">
        <f aca="false">E15/E17</f>
        <v>0.518669293902056</v>
      </c>
      <c r="F22" s="16" t="n">
        <f aca="false">F15/F17</f>
        <v>0.536770413496219</v>
      </c>
      <c r="G22" s="16" t="n">
        <f aca="false">G15/G17</f>
        <v>0.525798688336213</v>
      </c>
      <c r="H22" s="16" t="n">
        <f aca="false">H15/H17</f>
        <v>0.511521784956992</v>
      </c>
      <c r="I22" s="16" t="n">
        <f aca="false">I15/I17</f>
        <v>0.504069461294221</v>
      </c>
      <c r="J22" s="16" t="n">
        <f aca="false">J15/J17</f>
        <v>0.486321115138967</v>
      </c>
      <c r="K22" s="16" t="n">
        <f aca="false">K15/K17</f>
        <v>0.505295417316497</v>
      </c>
      <c r="L22" s="16" t="n">
        <f aca="false">L15/L17</f>
        <v>0.494445003423351</v>
      </c>
      <c r="M22" s="16" t="n">
        <f aca="false">M15/M17</f>
        <v>0.482472316263665</v>
      </c>
      <c r="N22" s="16" t="n">
        <f aca="false">N15/N17</f>
        <v>0.477724300331302</v>
      </c>
      <c r="O22" s="16" t="n">
        <f aca="false">O15/O17</f>
        <v>0.461886927567445</v>
      </c>
      <c r="P22" s="16" t="n">
        <f aca="false">P15/P17</f>
        <v>0.478274231204597</v>
      </c>
    </row>
    <row r="23" customFormat="false" ht="15" hidden="false" customHeight="false" outlineLevel="0" collapsed="false">
      <c r="A23" s="7" t="s">
        <v>35</v>
      </c>
      <c r="B23" s="16" t="n">
        <f aca="false">B16/B17</f>
        <v>0.449046506497106</v>
      </c>
      <c r="C23" s="16" t="n">
        <f aca="false">C16/C17</f>
        <v>0.449053847924224</v>
      </c>
      <c r="D23" s="16" t="n">
        <f aca="false">D16/D17</f>
        <v>0.464329620385203</v>
      </c>
      <c r="E23" s="16" t="n">
        <f aca="false">E16/E17</f>
        <v>0.481330706097944</v>
      </c>
      <c r="F23" s="16" t="n">
        <f aca="false">F16/F17</f>
        <v>0.463229586503781</v>
      </c>
      <c r="G23" s="16" t="n">
        <f aca="false">G16/G17</f>
        <v>0.474201311663787</v>
      </c>
      <c r="H23" s="16" t="n">
        <f aca="false">H16/H17</f>
        <v>0.488478215043008</v>
      </c>
      <c r="I23" s="16" t="n">
        <f aca="false">I16/I17</f>
        <v>0.495930538705779</v>
      </c>
      <c r="J23" s="16" t="n">
        <f aca="false">J16/J17</f>
        <v>0.513678884861033</v>
      </c>
      <c r="K23" s="16" t="n">
        <f aca="false">K16/K17</f>
        <v>0.494704582683503</v>
      </c>
      <c r="L23" s="16" t="n">
        <f aca="false">L16/L17</f>
        <v>0.505554996576649</v>
      </c>
      <c r="M23" s="16" t="n">
        <f aca="false">M16/M17</f>
        <v>0.517527683736335</v>
      </c>
      <c r="N23" s="16" t="n">
        <f aca="false">N16/N17</f>
        <v>0.522275699668698</v>
      </c>
      <c r="O23" s="16" t="n">
        <f aca="false">O16/O17</f>
        <v>0.538113072432556</v>
      </c>
      <c r="P23" s="16" t="n">
        <f aca="false">P16/P17</f>
        <v>0.521725768795403</v>
      </c>
    </row>
    <row r="25" customFormat="false" ht="15.75" hidden="false" customHeight="true" outlineLevel="0" collapsed="false">
      <c r="A25" s="6" t="s">
        <v>36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14" t="s">
        <v>37</v>
      </c>
      <c r="B26" s="17"/>
      <c r="C26" s="17"/>
      <c r="D26" s="17"/>
      <c r="E26" s="17"/>
      <c r="F26" s="17"/>
      <c r="G26" s="18" t="n">
        <f aca="false">G17/B17-1</f>
        <v>0.847116325641649</v>
      </c>
      <c r="H26" s="18" t="n">
        <f aca="false">H17/C17-1</f>
        <v>0.928334945705726</v>
      </c>
      <c r="I26" s="18" t="n">
        <f aca="false">I17/D17-1</f>
        <v>0.696776406918343</v>
      </c>
      <c r="J26" s="18" t="n">
        <f aca="false">J17/E17-1</f>
        <v>0.613426253303592</v>
      </c>
      <c r="K26" s="18" t="n">
        <f aca="false">K17/F17-1</f>
        <v>0.752197953008482</v>
      </c>
      <c r="L26" s="18" t="n">
        <f aca="false">L17/G17-1</f>
        <v>0.518589223335046</v>
      </c>
      <c r="M26" s="18" t="n">
        <f aca="false">M17/H17-1</f>
        <v>0.464907019712069</v>
      </c>
      <c r="N26" s="18" t="n">
        <f aca="false">N17/I17-1</f>
        <v>0.407044624017784</v>
      </c>
      <c r="O26" s="18" t="n">
        <f aca="false">O17/J17-1</f>
        <v>0.356160829561646</v>
      </c>
      <c r="P26" s="18" t="n">
        <f aca="false">P17/K17-1</f>
        <v>0.42982004444319</v>
      </c>
    </row>
    <row r="27" customFormat="false" ht="15" hidden="false" customHeight="false" outlineLevel="0" collapsed="false">
      <c r="A27" s="14" t="s">
        <v>38</v>
      </c>
      <c r="B27" s="17"/>
      <c r="C27" s="18" t="n">
        <f aca="false">C17/B17-1</f>
        <v>0.135590113763004</v>
      </c>
      <c r="D27" s="18" t="n">
        <f aca="false">D17/C17-1</f>
        <v>0.176741586355245</v>
      </c>
      <c r="E27" s="18" t="n">
        <f aca="false">E17/D17-1</f>
        <v>0.191102809941986</v>
      </c>
      <c r="F27" s="17"/>
      <c r="G27" s="18" t="n">
        <f aca="false">G17/E17-1</f>
        <v>0.160492379169208</v>
      </c>
      <c r="H27" s="18" t="n">
        <f aca="false">H17/G17-1</f>
        <v>0.185522573737446</v>
      </c>
      <c r="I27" s="18" t="n">
        <f aca="false">I17/H17-1</f>
        <v>0.0354359678092695</v>
      </c>
      <c r="J27" s="18" t="n">
        <f aca="false">J17/I17-1</f>
        <v>0.132592683460481</v>
      </c>
      <c r="K27" s="17"/>
      <c r="L27" s="18" t="n">
        <f aca="false">L17/J17-1</f>
        <v>0.0922787559458413</v>
      </c>
      <c r="M27" s="18" t="n">
        <f aca="false">M17/L17-1</f>
        <v>0.143614292534683</v>
      </c>
      <c r="N27" s="18" t="n">
        <f aca="false">N17/M17-1</f>
        <v>-0.00546274103660061</v>
      </c>
      <c r="O27" s="18" t="n">
        <f aca="false">O17/N17-1</f>
        <v>0.0916340583223771</v>
      </c>
      <c r="P27" s="17"/>
    </row>
    <row r="28" customFormat="false" ht="15" hidden="false" customHeight="false" outlineLevel="0" collapsed="false">
      <c r="A28" s="7" t="s">
        <v>39</v>
      </c>
      <c r="G28" s="16" t="n">
        <f aca="false">G13/B13-1</f>
        <v>1.04140127388535</v>
      </c>
      <c r="H28" s="16" t="n">
        <f aca="false">H13/C13-1</f>
        <v>1.14714714714715</v>
      </c>
      <c r="I28" s="16" t="n">
        <f aca="false">I13/D13-1</f>
        <v>0.807361268403171</v>
      </c>
      <c r="J28" s="16" t="n">
        <f aca="false">J13/E13-1</f>
        <v>0.691225626740947</v>
      </c>
      <c r="K28" s="16" t="n">
        <f aca="false">K13/F13-1</f>
        <v>0.888920676986087</v>
      </c>
      <c r="L28" s="16" t="n">
        <f aca="false">L13/G13-1</f>
        <v>0.566029641185647</v>
      </c>
      <c r="M28" s="16" t="n">
        <f aca="false">M13/H13-1</f>
        <v>0.497139224411952</v>
      </c>
      <c r="N28" s="16" t="n">
        <f aca="false">N13/I13-1</f>
        <v>0.434579234287863</v>
      </c>
      <c r="O28" s="16" t="n">
        <f aca="false">O13/J13-1</f>
        <v>0.377242032446677</v>
      </c>
      <c r="P28" s="16" t="n">
        <f aca="false">P13/K13-1</f>
        <v>0.460484905976229</v>
      </c>
    </row>
    <row r="29" customFormat="false" ht="15" hidden="false" customHeight="false" outlineLevel="0" collapsed="false">
      <c r="A29" s="7" t="s">
        <v>40</v>
      </c>
      <c r="G29" s="16" t="n">
        <f aca="false">G14/B14-1</f>
        <v>0.370240956791933</v>
      </c>
      <c r="H29" s="16" t="n">
        <f aca="false">H14/C14-1</f>
        <v>0.337026968206952</v>
      </c>
      <c r="I29" s="16" t="n">
        <f aca="false">I14/D14-1</f>
        <v>0.36920494344028</v>
      </c>
      <c r="J29" s="16" t="n">
        <f aca="false">J14/E14-1</f>
        <v>0.359364952304716</v>
      </c>
      <c r="K29" s="16" t="n">
        <f aca="false">K14/F14-1</f>
        <v>0.359070663967317</v>
      </c>
      <c r="L29" s="16" t="n">
        <f aca="false">L14/G14-1</f>
        <v>0.345110715579478</v>
      </c>
      <c r="M29" s="16" t="n">
        <f aca="false">M14/H14-1</f>
        <v>0.325027588946764</v>
      </c>
      <c r="N29" s="16" t="n">
        <f aca="false">N14/I14-1</f>
        <v>0.299381784653959</v>
      </c>
      <c r="O29" s="16" t="n">
        <f aca="false">O14/J14-1</f>
        <v>0.270511633978204</v>
      </c>
      <c r="P29" s="16" t="n">
        <f aca="false">P14/K14-1</f>
        <v>0.307272340263184</v>
      </c>
    </row>
    <row r="30" customFormat="false" ht="15" hidden="false" customHeight="false" outlineLevel="0" collapsed="false">
      <c r="A30" s="7" t="s">
        <v>41</v>
      </c>
      <c r="G30" s="16" t="n">
        <f aca="false">G15/B15-1</f>
        <v>0.762782798693125</v>
      </c>
      <c r="H30" s="16" t="n">
        <f aca="false">H15/C15-1</f>
        <v>0.790347985381106</v>
      </c>
      <c r="I30" s="16" t="n">
        <f aca="false">I15/D15-1</f>
        <v>0.596678110122717</v>
      </c>
      <c r="J30" s="16" t="n">
        <f aca="false">J15/E15-1</f>
        <v>0.512800668800066</v>
      </c>
      <c r="K30" s="16" t="n">
        <f aca="false">K15/F15-1</f>
        <v>0.649453050364091</v>
      </c>
      <c r="L30" s="16" t="n">
        <f aca="false">L15/G15-1</f>
        <v>0.428034855139152</v>
      </c>
      <c r="M30" s="16" t="n">
        <f aca="false">M15/H15-1</f>
        <v>0.38171453043942</v>
      </c>
      <c r="N30" s="16" t="n">
        <f aca="false">N15/I15-1</f>
        <v>0.333505518898059</v>
      </c>
      <c r="O30" s="16" t="n">
        <f aca="false">O15/J15-1</f>
        <v>0.288023364304372</v>
      </c>
      <c r="P30" s="16" t="n">
        <f aca="false">P15/K15-1</f>
        <v>0.353358964046679</v>
      </c>
    </row>
    <row r="31" customFormat="false" ht="15" hidden="false" customHeight="false" outlineLevel="0" collapsed="false">
      <c r="A31" s="7" t="s">
        <v>42</v>
      </c>
      <c r="G31" s="16" t="n">
        <f aca="false">G16/B16-1</f>
        <v>0.950588573213872</v>
      </c>
      <c r="H31" s="16" t="n">
        <f aca="false">H16/C16-1</f>
        <v>1.09763175761126</v>
      </c>
      <c r="I31" s="16" t="n">
        <f aca="false">I16/D16-1</f>
        <v>0.812254055315673</v>
      </c>
      <c r="J31" s="16" t="n">
        <f aca="false">J16/E16-1</f>
        <v>0.72185773336858</v>
      </c>
      <c r="K31" s="16" t="n">
        <f aca="false">K16/F16-1</f>
        <v>0.871254303215528</v>
      </c>
      <c r="L31" s="16" t="n">
        <f aca="false">L16/G16-1</f>
        <v>0.618996722954688</v>
      </c>
      <c r="M31" s="16" t="n">
        <f aca="false">M16/H16-1</f>
        <v>0.552024048265766</v>
      </c>
      <c r="N31" s="16" t="n">
        <f aca="false">N16/I16-1</f>
        <v>0.481790610015129</v>
      </c>
      <c r="O31" s="16" t="n">
        <f aca="false">O16/J16-1</f>
        <v>0.420669395249771</v>
      </c>
      <c r="P31" s="16" t="n">
        <f aca="false">P16/K16-1</f>
        <v>0.507918034394786</v>
      </c>
    </row>
    <row r="33" customFormat="false" ht="15.75" hidden="false" customHeight="true" outlineLevel="0" collapsed="false">
      <c r="A33" s="19" t="s">
        <v>43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customFormat="false" ht="15" hidden="false" customHeight="false" outlineLevel="0" collapsed="false">
      <c r="A34" s="20" t="s">
        <v>30</v>
      </c>
      <c r="B34" s="21" t="n">
        <f aca="false">B17</f>
        <v>883855</v>
      </c>
      <c r="C34" s="21" t="n">
        <f aca="false">C17</f>
        <v>1003697</v>
      </c>
      <c r="D34" s="21" t="n">
        <f aca="false">D17</f>
        <v>1181092</v>
      </c>
      <c r="E34" s="21" t="n">
        <f aca="false">E17</f>
        <v>1406802</v>
      </c>
      <c r="F34" s="21" t="n">
        <f aca="false">F17</f>
        <v>4475446</v>
      </c>
      <c r="G34" s="21" t="n">
        <f aca="false">G17</f>
        <v>1632583</v>
      </c>
      <c r="H34" s="21" t="n">
        <f aca="false">H17</f>
        <v>1935464</v>
      </c>
      <c r="I34" s="21" t="n">
        <f aca="false">I17</f>
        <v>2004049.04</v>
      </c>
      <c r="J34" s="21" t="n">
        <f aca="false">J17</f>
        <v>2269771.28</v>
      </c>
      <c r="K34" s="21" t="n">
        <f aca="false">K17</f>
        <v>7841867.32</v>
      </c>
      <c r="L34" s="21" t="n">
        <f aca="false">L17</f>
        <v>2479222.95</v>
      </c>
      <c r="M34" s="21" t="n">
        <f aca="false">M17</f>
        <v>2835274.8</v>
      </c>
      <c r="N34" s="21" t="n">
        <f aca="false">N17</f>
        <v>2819786.428</v>
      </c>
      <c r="O34" s="21" t="n">
        <f aca="false">O17</f>
        <v>3078174.902</v>
      </c>
      <c r="P34" s="21" t="n">
        <f aca="false">P17</f>
        <v>11212459.08</v>
      </c>
    </row>
    <row r="35" customFormat="false" ht="15" hidden="false" customHeight="false" outlineLevel="0" collapsed="false">
      <c r="A35" s="7" t="s">
        <v>44</v>
      </c>
      <c r="B35" s="8" t="n">
        <v>172970</v>
      </c>
      <c r="C35" s="8" t="n">
        <v>192934</v>
      </c>
      <c r="D35" s="8" t="n">
        <v>207307</v>
      </c>
      <c r="E35" s="8" t="n">
        <v>215966</v>
      </c>
      <c r="F35" s="9" t="n">
        <f aca="false">B35+C35+D35+E35</f>
        <v>789177</v>
      </c>
      <c r="G35" s="8" t="n">
        <v>215798</v>
      </c>
      <c r="H35" s="8" t="n">
        <v>296870</v>
      </c>
      <c r="I35" s="9" t="n">
        <f aca="false">I34*(1-Assumptions!I14)</f>
        <v>248502.08096</v>
      </c>
      <c r="J35" s="9" t="n">
        <f aca="false">J34*(1-Assumptions!J14)</f>
        <v>272372.5536</v>
      </c>
      <c r="K35" s="9" t="n">
        <f aca="false">G35+H35+I35+J35</f>
        <v>1033542.63456</v>
      </c>
      <c r="L35" s="9" t="n">
        <f aca="false">L34*(1-Assumptions!L14)</f>
        <v>290069.08515</v>
      </c>
      <c r="M35" s="9" t="n">
        <f aca="false">M34*(1-Assumptions!M14)</f>
        <v>323221.3272</v>
      </c>
      <c r="N35" s="9" t="n">
        <f aca="false">N34*(1-Assumptions!N14)</f>
        <v>315816.079936</v>
      </c>
      <c r="O35" s="9" t="n">
        <f aca="false">O34*(1-Assumptions!O14)</f>
        <v>338599.23922</v>
      </c>
      <c r="P35" s="9" t="n">
        <f aca="false">L35+M35+N35+O35</f>
        <v>1267705.731506</v>
      </c>
    </row>
    <row r="36" customFormat="false" ht="15" hidden="false" customHeight="false" outlineLevel="0" collapsed="false">
      <c r="A36" s="10" t="s">
        <v>45</v>
      </c>
      <c r="B36" s="11" t="n">
        <f aca="false">B34-B35</f>
        <v>710885</v>
      </c>
      <c r="C36" s="11" t="n">
        <f aca="false">C34-C35</f>
        <v>810763</v>
      </c>
      <c r="D36" s="11" t="n">
        <f aca="false">D34-D35</f>
        <v>973785</v>
      </c>
      <c r="E36" s="11" t="n">
        <f aca="false">E34-E35</f>
        <v>1190836</v>
      </c>
      <c r="F36" s="11" t="n">
        <f aca="false">F34-F35</f>
        <v>3686269</v>
      </c>
      <c r="G36" s="11" t="n">
        <f aca="false">G34-G35</f>
        <v>1416785</v>
      </c>
      <c r="H36" s="11" t="n">
        <f aca="false">H34-H35</f>
        <v>1638594</v>
      </c>
      <c r="I36" s="11" t="n">
        <f aca="false">I34-I35</f>
        <v>1755546.95904</v>
      </c>
      <c r="J36" s="11" t="n">
        <f aca="false">J34-J35</f>
        <v>1997398.7264</v>
      </c>
      <c r="K36" s="11" t="n">
        <f aca="false">K34-K35</f>
        <v>6808324.68544</v>
      </c>
      <c r="L36" s="11" t="n">
        <f aca="false">L34-L35</f>
        <v>2189153.86485</v>
      </c>
      <c r="M36" s="11" t="n">
        <f aca="false">M34-M35</f>
        <v>2512053.4728</v>
      </c>
      <c r="N36" s="11" t="n">
        <f aca="false">N34-N35</f>
        <v>2503970.348064</v>
      </c>
      <c r="O36" s="11" t="n">
        <f aca="false">O34-O35</f>
        <v>2739575.66278</v>
      </c>
      <c r="P36" s="11" t="n">
        <f aca="false">P34-P35</f>
        <v>9944753.348494</v>
      </c>
    </row>
    <row r="37" customFormat="false" ht="15" hidden="false" customHeight="false" outlineLevel="0" collapsed="false">
      <c r="A37" s="7" t="s">
        <v>46</v>
      </c>
      <c r="B37" s="16" t="n">
        <f aca="false">B36/B34</f>
        <v>0.804300479150992</v>
      </c>
      <c r="C37" s="16" t="n">
        <f aca="false">C36/C34</f>
        <v>0.807776649725963</v>
      </c>
      <c r="D37" s="16" t="n">
        <f aca="false">D36/D34</f>
        <v>0.824478533425</v>
      </c>
      <c r="E37" s="16" t="n">
        <f aca="false">E36/E34</f>
        <v>0.846484437753145</v>
      </c>
      <c r="F37" s="16" t="n">
        <f aca="false">F36/F34</f>
        <v>0.823665172141503</v>
      </c>
      <c r="G37" s="16" t="n">
        <f aca="false">G36/G34</f>
        <v>0.867818052742188</v>
      </c>
      <c r="H37" s="16" t="n">
        <f aca="false">H36/H34</f>
        <v>0.846615591920077</v>
      </c>
      <c r="I37" s="16" t="n">
        <f aca="false">I36/I34</f>
        <v>0.876</v>
      </c>
      <c r="J37" s="16" t="n">
        <f aca="false">J36/J34</f>
        <v>0.88</v>
      </c>
      <c r="K37" s="16" t="n">
        <f aca="false">K36/K34</f>
        <v>0.86820197379213</v>
      </c>
      <c r="L37" s="16" t="n">
        <f aca="false">L36/L34</f>
        <v>0.883</v>
      </c>
      <c r="M37" s="16" t="n">
        <f aca="false">M36/M34</f>
        <v>0.886</v>
      </c>
      <c r="N37" s="16" t="n">
        <f aca="false">N36/N34</f>
        <v>0.888</v>
      </c>
      <c r="O37" s="16" t="n">
        <f aca="false">O36/O34</f>
        <v>0.89</v>
      </c>
      <c r="P37" s="16" t="n">
        <f aca="false">P36/P34</f>
        <v>0.886937760712345</v>
      </c>
    </row>
    <row r="39" customFormat="false" ht="15" hidden="false" customHeight="false" outlineLevel="0" collapsed="false">
      <c r="A39" s="7" t="s">
        <v>47</v>
      </c>
      <c r="B39" s="8" t="n">
        <v>236309</v>
      </c>
      <c r="C39" s="8" t="n">
        <v>243788</v>
      </c>
      <c r="D39" s="8" t="n">
        <v>274636</v>
      </c>
      <c r="E39" s="8" t="n">
        <v>302126</v>
      </c>
      <c r="F39" s="9" t="n">
        <f aca="false">B39+C39+D39+E39</f>
        <v>1056859</v>
      </c>
      <c r="G39" s="8" t="n">
        <v>319220</v>
      </c>
      <c r="H39" s="8" t="n">
        <v>339500</v>
      </c>
      <c r="I39" s="9" t="n">
        <f aca="false">I34*Assumptions!I15</f>
        <v>370749.0724</v>
      </c>
      <c r="J39" s="9" t="n">
        <f aca="false">J34*Assumptions!J15</f>
        <v>408558.8304</v>
      </c>
      <c r="K39" s="9" t="n">
        <f aca="false">G39+H39+I39+J39</f>
        <v>1438027.9028</v>
      </c>
      <c r="L39" s="9" t="n">
        <f aca="false">L34*Assumptions!L15</f>
        <v>433864.01625</v>
      </c>
      <c r="M39" s="9" t="n">
        <f aca="false">M34*Assumptions!M15</f>
        <v>481996.716</v>
      </c>
      <c r="N39" s="9" t="n">
        <f aca="false">N34*Assumptions!N15</f>
        <v>465264.76062</v>
      </c>
      <c r="O39" s="9" t="n">
        <f aca="false">O34*Assumptions!O15</f>
        <v>492507.98432</v>
      </c>
      <c r="P39" s="9" t="n">
        <f aca="false">L39+M39+N39+O39</f>
        <v>1873633.47719</v>
      </c>
    </row>
    <row r="40" customFormat="false" ht="15" hidden="false" customHeight="false" outlineLevel="0" collapsed="false">
      <c r="A40" s="22" t="s">
        <v>48</v>
      </c>
      <c r="B40" s="16" t="n">
        <f aca="false">B39/B34</f>
        <v>0.26736172788523</v>
      </c>
      <c r="C40" s="16" t="n">
        <f aca="false">C39/C34</f>
        <v>0.242890035538614</v>
      </c>
      <c r="D40" s="16" t="n">
        <f aca="false">D39/D34</f>
        <v>0.232527186705185</v>
      </c>
      <c r="E40" s="16" t="n">
        <f aca="false">E39/E34</f>
        <v>0.214760854761367</v>
      </c>
      <c r="F40" s="16" t="n">
        <f aca="false">F39/F34</f>
        <v>0.236146073486307</v>
      </c>
      <c r="G40" s="16" t="n">
        <f aca="false">G39/G34</f>
        <v>0.195530640708619</v>
      </c>
      <c r="H40" s="16" t="n">
        <f aca="false">H39/H34</f>
        <v>0.175410134210711</v>
      </c>
      <c r="I40" s="16" t="n">
        <f aca="false">I39/I34</f>
        <v>0.185</v>
      </c>
      <c r="J40" s="16" t="n">
        <f aca="false">J39/J34</f>
        <v>0.18</v>
      </c>
      <c r="K40" s="16" t="n">
        <f aca="false">K39/K34</f>
        <v>0.183378249608028</v>
      </c>
      <c r="L40" s="16" t="n">
        <f aca="false">L39/L34</f>
        <v>0.175</v>
      </c>
      <c r="M40" s="16" t="n">
        <f aca="false">M39/M34</f>
        <v>0.17</v>
      </c>
      <c r="N40" s="16" t="n">
        <f aca="false">N39/N34</f>
        <v>0.165</v>
      </c>
      <c r="O40" s="16" t="n">
        <f aca="false">O39/O34</f>
        <v>0.16</v>
      </c>
      <c r="P40" s="16" t="n">
        <f aca="false">P39/P34</f>
        <v>0.167102815164967</v>
      </c>
    </row>
    <row r="41" customFormat="false" ht="15" hidden="false" customHeight="false" outlineLevel="0" collapsed="false">
      <c r="A41" s="7" t="s">
        <v>49</v>
      </c>
      <c r="B41" s="8" t="n">
        <v>134889</v>
      </c>
      <c r="C41" s="8" t="n">
        <v>135043</v>
      </c>
      <c r="D41" s="8" t="n">
        <v>144191</v>
      </c>
      <c r="E41" s="8" t="n">
        <v>143554</v>
      </c>
      <c r="F41" s="9" t="n">
        <f aca="false">B41+C41+D41+E41</f>
        <v>557677</v>
      </c>
      <c r="G41" s="8" t="n">
        <v>160981</v>
      </c>
      <c r="H41" s="8" t="n">
        <v>192513</v>
      </c>
      <c r="I41" s="9" t="n">
        <f aca="false">I34*Assumptions!I16</f>
        <v>184372.51168</v>
      </c>
      <c r="J41" s="9" t="n">
        <f aca="false">J34*Assumptions!J16</f>
        <v>204279.4152</v>
      </c>
      <c r="K41" s="9" t="n">
        <f aca="false">G41+H41+I41+J41</f>
        <v>742145.92688</v>
      </c>
      <c r="L41" s="9" t="n">
        <f aca="false">L34*Assumptions!L16</f>
        <v>218171.6196</v>
      </c>
      <c r="M41" s="9" t="n">
        <f aca="false">M34*Assumptions!M16</f>
        <v>243833.6328</v>
      </c>
      <c r="N41" s="9" t="n">
        <f aca="false">N34*Assumptions!N16</f>
        <v>236862.059952</v>
      </c>
      <c r="O41" s="9" t="n">
        <f aca="false">O34*Assumptions!O16</f>
        <v>252410.341964</v>
      </c>
      <c r="P41" s="9" t="n">
        <f aca="false">L41+M41+N41+O41</f>
        <v>951277.654316</v>
      </c>
    </row>
    <row r="42" customFormat="false" ht="15" hidden="false" customHeight="false" outlineLevel="0" collapsed="false">
      <c r="A42" s="22" t="s">
        <v>48</v>
      </c>
      <c r="B42" s="16" t="n">
        <f aca="false">B41/B34</f>
        <v>0.152614399420719</v>
      </c>
      <c r="C42" s="16" t="n">
        <f aca="false">C41/C34</f>
        <v>0.134545584972357</v>
      </c>
      <c r="D42" s="16" t="n">
        <f aca="false">D41/D34</f>
        <v>0.122082784406295</v>
      </c>
      <c r="E42" s="16" t="n">
        <f aca="false">E41/E34</f>
        <v>0.102042789248238</v>
      </c>
      <c r="F42" s="16" t="n">
        <f aca="false">F41/F34</f>
        <v>0.124608139613348</v>
      </c>
      <c r="G42" s="16" t="n">
        <f aca="false">G41/G34</f>
        <v>0.0986050938910916</v>
      </c>
      <c r="H42" s="16" t="n">
        <f aca="false">H41/H34</f>
        <v>0.0994660711849975</v>
      </c>
      <c r="I42" s="16" t="n">
        <f aca="false">I41/I34</f>
        <v>0.092</v>
      </c>
      <c r="J42" s="16" t="n">
        <f aca="false">J41/J34</f>
        <v>0.09</v>
      </c>
      <c r="K42" s="16" t="n">
        <f aca="false">K41/K34</f>
        <v>0.0946389293003239</v>
      </c>
      <c r="L42" s="16" t="n">
        <f aca="false">L41/L34</f>
        <v>0.088</v>
      </c>
      <c r="M42" s="16" t="n">
        <f aca="false">M41/M34</f>
        <v>0.086</v>
      </c>
      <c r="N42" s="16" t="n">
        <f aca="false">N41/N34</f>
        <v>0.084</v>
      </c>
      <c r="O42" s="16" t="n">
        <f aca="false">O41/O34</f>
        <v>0.082</v>
      </c>
      <c r="P42" s="16" t="n">
        <f aca="false">P41/P34</f>
        <v>0.084841126065987</v>
      </c>
    </row>
    <row r="43" customFormat="false" ht="15" hidden="false" customHeight="false" outlineLevel="0" collapsed="false">
      <c r="A43" s="7" t="s">
        <v>50</v>
      </c>
      <c r="B43" s="8" t="n">
        <v>163639</v>
      </c>
      <c r="C43" s="8" t="n">
        <v>162615</v>
      </c>
      <c r="D43" s="8" t="n">
        <v>161702</v>
      </c>
      <c r="E43" s="8" t="n">
        <v>169762</v>
      </c>
      <c r="F43" s="9" t="n">
        <f aca="false">B43+C43+D43+E43</f>
        <v>657718</v>
      </c>
      <c r="G43" s="8" t="n">
        <v>182586</v>
      </c>
      <c r="H43" s="8" t="n">
        <v>194577</v>
      </c>
      <c r="I43" s="9" t="n">
        <f aca="false">I34*Assumptions!I17</f>
        <v>210425.1492</v>
      </c>
      <c r="J43" s="9" t="n">
        <f aca="false">J34*Assumptions!J17</f>
        <v>231516.67056</v>
      </c>
      <c r="K43" s="9" t="n">
        <f aca="false">G43+H43+I43+J43</f>
        <v>819104.81976</v>
      </c>
      <c r="L43" s="9" t="n">
        <f aca="false">L34*Assumptions!L17</f>
        <v>247922.295</v>
      </c>
      <c r="M43" s="9" t="n">
        <f aca="false">M34*Assumptions!M17</f>
        <v>277856.9304</v>
      </c>
      <c r="N43" s="9" t="n">
        <f aca="false">N34*Assumptions!N17</f>
        <v>270699.497088</v>
      </c>
      <c r="O43" s="9" t="n">
        <f aca="false">O34*Assumptions!O17</f>
        <v>289348.440788</v>
      </c>
      <c r="P43" s="9" t="n">
        <f aca="false">L43+M43+N43+O43</f>
        <v>1085827.163276</v>
      </c>
    </row>
    <row r="44" customFormat="false" ht="15" hidden="false" customHeight="false" outlineLevel="0" collapsed="false">
      <c r="A44" s="22" t="s">
        <v>48</v>
      </c>
      <c r="B44" s="16" t="n">
        <f aca="false">B43/B34</f>
        <v>0.185142359323645</v>
      </c>
      <c r="C44" s="16" t="n">
        <f aca="false">C43/C34</f>
        <v>0.162016026749109</v>
      </c>
      <c r="D44" s="16" t="n">
        <f aca="false">D43/D34</f>
        <v>0.136908894480701</v>
      </c>
      <c r="E44" s="16" t="n">
        <f aca="false">E43/E34</f>
        <v>0.120672276553488</v>
      </c>
      <c r="F44" s="16" t="n">
        <f aca="false">F43/F34</f>
        <v>0.146961442502043</v>
      </c>
      <c r="G44" s="16" t="n">
        <f aca="false">G43/G34</f>
        <v>0.111838724279256</v>
      </c>
      <c r="H44" s="16" t="n">
        <f aca="false">H43/H34</f>
        <v>0.100532482133483</v>
      </c>
      <c r="I44" s="16" t="n">
        <f aca="false">I43/I34</f>
        <v>0.105</v>
      </c>
      <c r="J44" s="16" t="n">
        <f aca="false">J43/J34</f>
        <v>0.102</v>
      </c>
      <c r="K44" s="16" t="n">
        <f aca="false">K43/K34</f>
        <v>0.104452777168385</v>
      </c>
      <c r="L44" s="16" t="n">
        <f aca="false">L43/L34</f>
        <v>0.1</v>
      </c>
      <c r="M44" s="16" t="n">
        <f aca="false">M43/M34</f>
        <v>0.098</v>
      </c>
      <c r="N44" s="16" t="n">
        <f aca="false">N43/N34</f>
        <v>0.096</v>
      </c>
      <c r="O44" s="16" t="n">
        <f aca="false">O43/O34</f>
        <v>0.094</v>
      </c>
      <c r="P44" s="16" t="n">
        <f aca="false">P43/P34</f>
        <v>0.096841126065987</v>
      </c>
    </row>
    <row r="45" customFormat="false" ht="15" hidden="false" customHeight="false" outlineLevel="0" collapsed="false">
      <c r="A45" s="23" t="s">
        <v>51</v>
      </c>
      <c r="B45" s="24" t="n">
        <f aca="false">B39+B41+B43</f>
        <v>534837</v>
      </c>
      <c r="C45" s="24" t="n">
        <f aca="false">C39+C41+C43</f>
        <v>541446</v>
      </c>
      <c r="D45" s="24" t="n">
        <f aca="false">D39+D41+D43</f>
        <v>580529</v>
      </c>
      <c r="E45" s="24" t="n">
        <f aca="false">E39+E41+E43</f>
        <v>615442</v>
      </c>
      <c r="F45" s="24" t="n">
        <f aca="false">F39+F41+F43</f>
        <v>2272254</v>
      </c>
      <c r="G45" s="24" t="n">
        <f aca="false">G39+G41+G43</f>
        <v>662787</v>
      </c>
      <c r="H45" s="24" t="n">
        <f aca="false">H39+H41+H43</f>
        <v>726590</v>
      </c>
      <c r="I45" s="24" t="n">
        <f aca="false">I39+I41+I43</f>
        <v>765546.73328</v>
      </c>
      <c r="J45" s="24" t="n">
        <f aca="false">J39+J41+J43</f>
        <v>844354.91616</v>
      </c>
      <c r="K45" s="24" t="n">
        <f aca="false">K39+K41+K43</f>
        <v>2999278.64944</v>
      </c>
      <c r="L45" s="24" t="n">
        <f aca="false">L39+L41+L43</f>
        <v>899957.93085</v>
      </c>
      <c r="M45" s="24" t="n">
        <f aca="false">M39+M41+M43</f>
        <v>1003687.2792</v>
      </c>
      <c r="N45" s="24" t="n">
        <f aca="false">N39+N41+N43</f>
        <v>972826.31766</v>
      </c>
      <c r="O45" s="24" t="n">
        <f aca="false">O39+O41+O43</f>
        <v>1034266.767072</v>
      </c>
      <c r="P45" s="24" t="n">
        <f aca="false">P39+P41+P43</f>
        <v>3910738.294782</v>
      </c>
    </row>
    <row r="47" customFormat="false" ht="15" hidden="false" customHeight="false" outlineLevel="0" collapsed="false">
      <c r="A47" s="12" t="s">
        <v>52</v>
      </c>
      <c r="B47" s="13" t="n">
        <f aca="false">B36-B45</f>
        <v>176048</v>
      </c>
      <c r="C47" s="13" t="n">
        <f aca="false">C36-C45</f>
        <v>269317</v>
      </c>
      <c r="D47" s="13" t="n">
        <f aca="false">D36-D45</f>
        <v>393256</v>
      </c>
      <c r="E47" s="13" t="n">
        <f aca="false">E36-E45</f>
        <v>575394</v>
      </c>
      <c r="F47" s="13" t="n">
        <f aca="false">F36-F45</f>
        <v>1414015</v>
      </c>
      <c r="G47" s="13" t="n">
        <f aca="false">G36-G45</f>
        <v>753998</v>
      </c>
      <c r="H47" s="13" t="n">
        <f aca="false">H36-H45</f>
        <v>912004</v>
      </c>
      <c r="I47" s="13" t="n">
        <f aca="false">I36-I45</f>
        <v>990000.22576</v>
      </c>
      <c r="J47" s="13" t="n">
        <f aca="false">J36-J45</f>
        <v>1153043.81024</v>
      </c>
      <c r="K47" s="13" t="n">
        <f aca="false">K36-K45</f>
        <v>3809046.036</v>
      </c>
      <c r="L47" s="13" t="n">
        <f aca="false">L36-L45</f>
        <v>1289195.934</v>
      </c>
      <c r="M47" s="13" t="n">
        <f aca="false">M36-M45</f>
        <v>1508366.1936</v>
      </c>
      <c r="N47" s="13" t="n">
        <f aca="false">N36-N45</f>
        <v>1531144.030404</v>
      </c>
      <c r="O47" s="13" t="n">
        <f aca="false">O36-O45</f>
        <v>1705308.895708</v>
      </c>
      <c r="P47" s="13" t="n">
        <f aca="false">P36-P45</f>
        <v>6034015.053712</v>
      </c>
    </row>
    <row r="48" customFormat="false" ht="15" hidden="false" customHeight="false" outlineLevel="0" collapsed="false">
      <c r="A48" s="7" t="s">
        <v>53</v>
      </c>
      <c r="B48" s="16" t="n">
        <f aca="false">B47/B34</f>
        <v>0.199181992521398</v>
      </c>
      <c r="C48" s="16" t="n">
        <f aca="false">C47/C34</f>
        <v>0.268325002465884</v>
      </c>
      <c r="D48" s="16" t="n">
        <f aca="false">D47/D34</f>
        <v>0.332959667832819</v>
      </c>
      <c r="E48" s="16" t="n">
        <f aca="false">E47/E34</f>
        <v>0.409008517190052</v>
      </c>
      <c r="F48" s="16" t="n">
        <f aca="false">F47/F34</f>
        <v>0.315949516539804</v>
      </c>
      <c r="G48" s="16" t="n">
        <f aca="false">G47/G34</f>
        <v>0.461843593863222</v>
      </c>
      <c r="H48" s="16" t="n">
        <f aca="false">H47/H34</f>
        <v>0.471206904390885</v>
      </c>
      <c r="I48" s="16" t="n">
        <f aca="false">I47/I34</f>
        <v>0.494</v>
      </c>
      <c r="J48" s="16" t="n">
        <f aca="false">J47/J34</f>
        <v>0.508</v>
      </c>
      <c r="K48" s="16" t="n">
        <f aca="false">K47/K34</f>
        <v>0.485732017715393</v>
      </c>
      <c r="L48" s="16" t="n">
        <f aca="false">L47/L34</f>
        <v>0.52</v>
      </c>
      <c r="M48" s="16" t="n">
        <f aca="false">M47/M34</f>
        <v>0.532</v>
      </c>
      <c r="N48" s="16" t="n">
        <f aca="false">N47/N34</f>
        <v>0.543</v>
      </c>
      <c r="O48" s="16" t="n">
        <f aca="false">O47/O34</f>
        <v>0.554</v>
      </c>
      <c r="P48" s="16" t="n">
        <f aca="false">P47/P34</f>
        <v>0.538152693415404</v>
      </c>
    </row>
    <row r="49" customFormat="false" ht="15" hidden="false" customHeight="false" outlineLevel="0" collapsed="false">
      <c r="A49" s="7" t="s">
        <v>54</v>
      </c>
      <c r="B49" s="8" t="n">
        <v>47268</v>
      </c>
      <c r="C49" s="8" t="n">
        <v>62851</v>
      </c>
      <c r="D49" s="8" t="n">
        <v>87245</v>
      </c>
      <c r="E49" s="8" t="n">
        <v>45989</v>
      </c>
      <c r="F49" s="9" t="n">
        <f aca="false">B49+C49+D49+E49</f>
        <v>243353</v>
      </c>
      <c r="G49" s="8" t="n">
        <v>134603</v>
      </c>
      <c r="H49" s="8" t="n">
        <v>169341</v>
      </c>
      <c r="I49" s="9" t="n">
        <f aca="false">I34*Assumptions!I18</f>
        <v>120242.9424</v>
      </c>
      <c r="J49" s="9" t="n">
        <f aca="false">J34*Assumptions!J18</f>
        <v>124837.4204</v>
      </c>
      <c r="K49" s="9" t="n">
        <f aca="false">G49+H49+I49+J49</f>
        <v>549024.3628</v>
      </c>
      <c r="L49" s="9" t="n">
        <f aca="false">L34*Assumptions!L18</f>
        <v>123961.1475</v>
      </c>
      <c r="M49" s="9" t="n">
        <f aca="false">M34*Assumptions!M18</f>
        <v>133257.9156</v>
      </c>
      <c r="N49" s="9" t="n">
        <f aca="false">N34*Assumptions!N18</f>
        <v>124070.602832</v>
      </c>
      <c r="O49" s="9" t="n">
        <f aca="false">O34*Assumptions!O18</f>
        <v>123126.99608</v>
      </c>
      <c r="P49" s="9" t="n">
        <f aca="false">L49+M49+N49+O49</f>
        <v>504416.662012</v>
      </c>
    </row>
    <row r="50" customFormat="false" ht="15" hidden="false" customHeight="false" outlineLevel="0" collapsed="false">
      <c r="A50" s="23" t="s">
        <v>55</v>
      </c>
      <c r="B50" s="24" t="n">
        <f aca="false">B47+B49</f>
        <v>223316</v>
      </c>
      <c r="C50" s="24" t="n">
        <f aca="false">C47+C49</f>
        <v>332168</v>
      </c>
      <c r="D50" s="24" t="n">
        <f aca="false">D47+D49</f>
        <v>480501</v>
      </c>
      <c r="E50" s="24" t="n">
        <f aca="false">E47+E49</f>
        <v>621383</v>
      </c>
      <c r="F50" s="24" t="n">
        <f aca="false">F47+F49</f>
        <v>1657368</v>
      </c>
      <c r="G50" s="24" t="n">
        <f aca="false">G47+G49</f>
        <v>888601</v>
      </c>
      <c r="H50" s="24" t="n">
        <f aca="false">H47+H49</f>
        <v>1081345</v>
      </c>
      <c r="I50" s="24" t="n">
        <f aca="false">I47+I49</f>
        <v>1110243.16816</v>
      </c>
      <c r="J50" s="24" t="n">
        <f aca="false">J47+J49</f>
        <v>1277881.23064</v>
      </c>
      <c r="K50" s="24" t="n">
        <f aca="false">K47+K49</f>
        <v>4358070.3988</v>
      </c>
      <c r="L50" s="24" t="n">
        <f aca="false">L47+L49</f>
        <v>1413157.0815</v>
      </c>
      <c r="M50" s="24" t="n">
        <f aca="false">M47+M49</f>
        <v>1641624.1092</v>
      </c>
      <c r="N50" s="24" t="n">
        <f aca="false">N47+N49</f>
        <v>1655214.633236</v>
      </c>
      <c r="O50" s="24" t="n">
        <f aca="false">O47+O49</f>
        <v>1828435.891788</v>
      </c>
      <c r="P50" s="24" t="n">
        <f aca="false">P47+P49</f>
        <v>6538431.715724</v>
      </c>
    </row>
    <row r="51" customFormat="false" ht="15" hidden="false" customHeight="false" outlineLevel="0" collapsed="false">
      <c r="A51" s="7" t="s">
        <v>56</v>
      </c>
      <c r="B51" s="8" t="n">
        <v>5599</v>
      </c>
      <c r="C51" s="8" t="n">
        <v>3596</v>
      </c>
      <c r="D51" s="8" t="n">
        <v>3753</v>
      </c>
      <c r="E51" s="8" t="n">
        <v>9776</v>
      </c>
      <c r="F51" s="9" t="n">
        <f aca="false">B51+C51+D51+E51</f>
        <v>22724</v>
      </c>
      <c r="G51" s="8" t="n">
        <v>12199</v>
      </c>
      <c r="H51" s="8" t="n">
        <v>15383</v>
      </c>
      <c r="I51" s="9" t="n">
        <f aca="false">I50*Assumptions!I22</f>
        <v>16653.6475224</v>
      </c>
      <c r="J51" s="9" t="n">
        <f aca="false">J50*Assumptions!J22</f>
        <v>19168.2184596</v>
      </c>
      <c r="K51" s="9" t="n">
        <f aca="false">G51+H51+I51+J51</f>
        <v>63403.865982</v>
      </c>
      <c r="L51" s="9" t="n">
        <f aca="false">L50*Assumptions!L22</f>
        <v>21197.3562225</v>
      </c>
      <c r="M51" s="9" t="n">
        <f aca="false">M50*Assumptions!M22</f>
        <v>24624.361638</v>
      </c>
      <c r="N51" s="9" t="n">
        <f aca="false">N50*Assumptions!N22</f>
        <v>24828.21949854</v>
      </c>
      <c r="O51" s="9" t="n">
        <f aca="false">O50*Assumptions!O22</f>
        <v>27426.53837682</v>
      </c>
      <c r="P51" s="9" t="n">
        <f aca="false">L51+M51+N51+O51</f>
        <v>98076.47573586</v>
      </c>
    </row>
    <row r="52" customFormat="false" ht="15" hidden="false" customHeight="false" outlineLevel="0" collapsed="false">
      <c r="A52" s="7" t="s">
        <v>57</v>
      </c>
      <c r="B52" s="16" t="n">
        <f aca="false">B51/B50</f>
        <v>0.0250720951476831</v>
      </c>
      <c r="C52" s="16" t="n">
        <f aca="false">C51/C50</f>
        <v>0.0108258471616772</v>
      </c>
      <c r="D52" s="16" t="n">
        <f aca="false">D51/D50</f>
        <v>0.00781059768866246</v>
      </c>
      <c r="E52" s="16" t="n">
        <f aca="false">E51/E50</f>
        <v>0.0157326479803921</v>
      </c>
      <c r="F52" s="16" t="n">
        <f aca="false">F51/F50</f>
        <v>0.0137108958300148</v>
      </c>
      <c r="G52" s="16" t="n">
        <f aca="false">G51/G50</f>
        <v>0.0137283212600481</v>
      </c>
      <c r="H52" s="16" t="n">
        <f aca="false">H51/H50</f>
        <v>0.014225802126056</v>
      </c>
      <c r="I52" s="16" t="n">
        <f aca="false">I51/I50</f>
        <v>0.015</v>
      </c>
      <c r="J52" s="16" t="n">
        <f aca="false">J51/J50</f>
        <v>0.015</v>
      </c>
      <c r="K52" s="16" t="n">
        <f aca="false">K51/K50</f>
        <v>0.0145486098617081</v>
      </c>
      <c r="L52" s="16" t="n">
        <f aca="false">L51/L50</f>
        <v>0.015</v>
      </c>
      <c r="M52" s="16" t="n">
        <f aca="false">M51/M50</f>
        <v>0.015</v>
      </c>
      <c r="N52" s="16" t="n">
        <f aca="false">N51/N50</f>
        <v>0.015</v>
      </c>
      <c r="O52" s="16" t="n">
        <f aca="false">O51/O50</f>
        <v>0.015</v>
      </c>
      <c r="P52" s="16" t="n">
        <f aca="false">P51/P50</f>
        <v>0.015</v>
      </c>
    </row>
    <row r="53" customFormat="false" ht="15" hidden="false" customHeight="false" outlineLevel="0" collapsed="false">
      <c r="A53" s="23" t="s">
        <v>58</v>
      </c>
      <c r="B53" s="24" t="n">
        <f aca="false">B50-B51</f>
        <v>217717</v>
      </c>
      <c r="C53" s="24" t="n">
        <f aca="false">C50-C51</f>
        <v>328572</v>
      </c>
      <c r="D53" s="24" t="n">
        <f aca="false">D50-D51</f>
        <v>476748</v>
      </c>
      <c r="E53" s="24" t="n">
        <f aca="false">E50-E51</f>
        <v>611607</v>
      </c>
      <c r="F53" s="24" t="n">
        <f aca="false">F50-F51</f>
        <v>1634644</v>
      </c>
      <c r="G53" s="24" t="n">
        <f aca="false">G50-G51</f>
        <v>876402</v>
      </c>
      <c r="H53" s="24" t="n">
        <f aca="false">H50-H51</f>
        <v>1065962</v>
      </c>
      <c r="I53" s="24" t="n">
        <f aca="false">I50-I51</f>
        <v>1093589.5206376</v>
      </c>
      <c r="J53" s="24" t="n">
        <f aca="false">J50-J51</f>
        <v>1258713.0121804</v>
      </c>
      <c r="K53" s="24" t="n">
        <f aca="false">K50-K51</f>
        <v>4294666.532818</v>
      </c>
      <c r="L53" s="24" t="n">
        <f aca="false">L50-L51</f>
        <v>1391959.7252775</v>
      </c>
      <c r="M53" s="24" t="n">
        <f aca="false">M50-M51</f>
        <v>1616999.747562</v>
      </c>
      <c r="N53" s="24" t="n">
        <f aca="false">N50-N51</f>
        <v>1630386.41373746</v>
      </c>
      <c r="O53" s="24" t="n">
        <f aca="false">O50-O51</f>
        <v>1801009.35341118</v>
      </c>
      <c r="P53" s="24" t="n">
        <f aca="false">P50-P51</f>
        <v>6440355.23998814</v>
      </c>
    </row>
    <row r="54" customFormat="false" ht="15" hidden="false" customHeight="false" outlineLevel="0" collapsed="false">
      <c r="A54" s="7" t="s">
        <v>59</v>
      </c>
      <c r="B54" s="8" t="n">
        <v>3686</v>
      </c>
      <c r="C54" s="8" t="n">
        <v>1845</v>
      </c>
      <c r="D54" s="8" t="n">
        <v>1149</v>
      </c>
      <c r="E54" s="8" t="n">
        <v>2931</v>
      </c>
      <c r="F54" s="9" t="n">
        <f aca="false">B54+C54+D54+E54</f>
        <v>9611</v>
      </c>
      <c r="G54" s="8" t="n">
        <v>5875</v>
      </c>
      <c r="H54" s="8" t="n">
        <v>4072</v>
      </c>
      <c r="I54" s="9" t="n">
        <f aca="false">I53*Assumptions!I23</f>
        <v>5467.947603188</v>
      </c>
      <c r="J54" s="9" t="n">
        <f aca="false">J53*Assumptions!J23</f>
        <v>6293.565060902</v>
      </c>
      <c r="K54" s="9" t="n">
        <f aca="false">G54+H54+I54+J54</f>
        <v>21708.51266409</v>
      </c>
      <c r="L54" s="9" t="n">
        <f aca="false">L53*Assumptions!L23</f>
        <v>6959.7986263875</v>
      </c>
      <c r="M54" s="9" t="n">
        <f aca="false">M53*Assumptions!M23</f>
        <v>8084.99873781</v>
      </c>
      <c r="N54" s="9" t="n">
        <f aca="false">N53*Assumptions!N23</f>
        <v>8151.9320686873</v>
      </c>
      <c r="O54" s="9" t="n">
        <f aca="false">O53*Assumptions!O23</f>
        <v>9005.0467670559</v>
      </c>
      <c r="P54" s="9" t="n">
        <f aca="false">L54+M54+N54+O54</f>
        <v>32201.7761999407</v>
      </c>
    </row>
    <row r="55" customFormat="false" ht="15" hidden="false" customHeight="false" outlineLevel="0" collapsed="false">
      <c r="A55" s="12" t="s">
        <v>60</v>
      </c>
      <c r="B55" s="13" t="n">
        <f aca="false">B53-B54</f>
        <v>214031</v>
      </c>
      <c r="C55" s="13" t="n">
        <f aca="false">C53-C54</f>
        <v>326727</v>
      </c>
      <c r="D55" s="13" t="n">
        <f aca="false">D53-D54</f>
        <v>475599</v>
      </c>
      <c r="E55" s="13" t="n">
        <f aca="false">E53-E54</f>
        <v>608676</v>
      </c>
      <c r="F55" s="13" t="n">
        <f aca="false">F53-F54</f>
        <v>1625033</v>
      </c>
      <c r="G55" s="13" t="n">
        <f aca="false">G53-G54</f>
        <v>870527</v>
      </c>
      <c r="H55" s="13" t="n">
        <f aca="false">H53-H54</f>
        <v>1061890</v>
      </c>
      <c r="I55" s="13" t="n">
        <f aca="false">I53-I54</f>
        <v>1088121.57303441</v>
      </c>
      <c r="J55" s="13" t="n">
        <f aca="false">J53-J54</f>
        <v>1252419.4471195</v>
      </c>
      <c r="K55" s="13" t="n">
        <f aca="false">K53-K54</f>
        <v>4272958.02015391</v>
      </c>
      <c r="L55" s="13" t="n">
        <f aca="false">L53-L54</f>
        <v>1384999.92665111</v>
      </c>
      <c r="M55" s="13" t="n">
        <f aca="false">M53-M54</f>
        <v>1608914.74882419</v>
      </c>
      <c r="N55" s="13" t="n">
        <f aca="false">N53-N54</f>
        <v>1622234.48166877</v>
      </c>
      <c r="O55" s="13" t="n">
        <f aca="false">O53-O54</f>
        <v>1792004.30664412</v>
      </c>
      <c r="P55" s="13" t="n">
        <f aca="false">P53-P54</f>
        <v>6408153.4637882</v>
      </c>
    </row>
    <row r="56" customFormat="false" ht="15" hidden="false" customHeight="false" outlineLevel="0" collapsed="false">
      <c r="A56" s="7" t="s">
        <v>61</v>
      </c>
      <c r="B56" s="16" t="n">
        <f aca="false">B55/B34</f>
        <v>0.242156236034191</v>
      </c>
      <c r="C56" s="16" t="n">
        <f aca="false">C55/C34</f>
        <v>0.325523539474563</v>
      </c>
      <c r="D56" s="16" t="n">
        <f aca="false">D55/D34</f>
        <v>0.402677352822642</v>
      </c>
      <c r="E56" s="16" t="n">
        <f aca="false">E55/E34</f>
        <v>0.432666430670414</v>
      </c>
      <c r="F56" s="16" t="n">
        <f aca="false">F55/F34</f>
        <v>0.363099677663411</v>
      </c>
      <c r="G56" s="16" t="n">
        <f aca="false">G55/G34</f>
        <v>0.533220669331973</v>
      </c>
      <c r="H56" s="16" t="n">
        <f aca="false">H55/H34</f>
        <v>0.548648799461008</v>
      </c>
      <c r="I56" s="16" t="n">
        <f aca="false">I55/I34</f>
        <v>0.54296155</v>
      </c>
      <c r="J56" s="16" t="n">
        <f aca="false">J55/J34</f>
        <v>0.551782225</v>
      </c>
      <c r="K56" s="16" t="n">
        <f aca="false">K55/K34</f>
        <v>0.544890374420912</v>
      </c>
      <c r="L56" s="16" t="n">
        <f aca="false">L55/L34</f>
        <v>0.55864275</v>
      </c>
      <c r="M56" s="16" t="n">
        <f aca="false">M55/M34</f>
        <v>0.567463425</v>
      </c>
      <c r="N56" s="16" t="n">
        <f aca="false">N55/N34</f>
        <v>0.575304025</v>
      </c>
      <c r="O56" s="16" t="n">
        <f aca="false">O55/O34</f>
        <v>0.58216455</v>
      </c>
      <c r="P56" s="16" t="n">
        <f aca="false">P55/P34</f>
        <v>0.571520789335019</v>
      </c>
    </row>
    <row r="58" customFormat="false" ht="15" hidden="false" customHeight="false" outlineLevel="0" collapsed="false">
      <c r="A58" s="14" t="s">
        <v>62</v>
      </c>
      <c r="B58" s="25" t="n">
        <v>2552818</v>
      </c>
      <c r="C58" s="25" t="n">
        <v>2562912</v>
      </c>
      <c r="D58" s="25" t="n">
        <v>2571057</v>
      </c>
      <c r="E58" s="25" t="n">
        <v>2573497</v>
      </c>
      <c r="F58" s="26" t="n">
        <f aca="false">AVERAGE(B58:E58)</f>
        <v>2565071</v>
      </c>
      <c r="G58" s="25" t="n">
        <v>2570924</v>
      </c>
      <c r="H58" s="25" t="n">
        <v>2568694</v>
      </c>
      <c r="I58" s="26" t="n">
        <f aca="false">H58*(1+Assumptions!I24)</f>
        <v>2573831.388</v>
      </c>
      <c r="J58" s="26" t="n">
        <f aca="false">I58*(1+Assumptions!J24)</f>
        <v>2578979.050776</v>
      </c>
      <c r="K58" s="26" t="n">
        <f aca="false">AVERAGE(G58:J58)</f>
        <v>2573107.109694</v>
      </c>
      <c r="L58" s="26" t="n">
        <f aca="false">J58*(1+Assumptions!L24)</f>
        <v>2584137.00887755</v>
      </c>
      <c r="M58" s="26" t="n">
        <f aca="false">L58*(1+Assumptions!M24)</f>
        <v>2589305.28289531</v>
      </c>
      <c r="N58" s="26" t="n">
        <f aca="false">M58*(1+Assumptions!N24)</f>
        <v>2594483.8934611</v>
      </c>
      <c r="O58" s="26" t="n">
        <f aca="false">N58*(1+Assumptions!O24)</f>
        <v>2599672.86124802</v>
      </c>
      <c r="P58" s="26" t="n">
        <f aca="false">AVERAGE(L58:O58)</f>
        <v>2591899.76162049</v>
      </c>
    </row>
    <row r="59" customFormat="false" ht="15" hidden="false" customHeight="false" outlineLevel="0" collapsed="false">
      <c r="A59" s="12" t="s">
        <v>63</v>
      </c>
      <c r="B59" s="27" t="n">
        <f aca="false">B55/B58</f>
        <v>0.0838410728849452</v>
      </c>
      <c r="C59" s="27" t="n">
        <f aca="false">C55/C58</f>
        <v>0.12748272277784</v>
      </c>
      <c r="D59" s="27" t="n">
        <f aca="false">D55/D58</f>
        <v>0.184981896550718</v>
      </c>
      <c r="E59" s="27" t="n">
        <f aca="false">E55/E58</f>
        <v>0.236517081620845</v>
      </c>
      <c r="F59" s="27" t="n">
        <f aca="false">F55/F58</f>
        <v>0.633523594473603</v>
      </c>
      <c r="G59" s="27" t="n">
        <f aca="false">G55/G58</f>
        <v>0.338604719548302</v>
      </c>
      <c r="H59" s="27" t="n">
        <f aca="false">H55/H58</f>
        <v>0.413396846802305</v>
      </c>
      <c r="I59" s="27" t="n">
        <f aca="false">I55/I58</f>
        <v>0.422763347322429</v>
      </c>
      <c r="J59" s="27" t="n">
        <f aca="false">J55/J58</f>
        <v>0.485626064602057</v>
      </c>
      <c r="K59" s="27" t="n">
        <f aca="false">K55/K58</f>
        <v>1.66062190106888</v>
      </c>
      <c r="L59" s="27" t="n">
        <f aca="false">L55/L58</f>
        <v>0.535962265891119</v>
      </c>
      <c r="M59" s="27" t="n">
        <f aca="false">M55/M58</f>
        <v>0.621369275941513</v>
      </c>
      <c r="N59" s="27" t="n">
        <f aca="false">N55/N58</f>
        <v>0.625262883981398</v>
      </c>
      <c r="O59" s="27" t="n">
        <f aca="false">O55/O58</f>
        <v>0.689319157558863</v>
      </c>
      <c r="P59" s="27" t="n">
        <f aca="false">P55/P58</f>
        <v>2.47237704122544</v>
      </c>
    </row>
    <row r="61" customFormat="false" ht="15" hidden="false" customHeight="false" outlineLevel="0" collapsed="false">
      <c r="A61" s="28" t="s">
        <v>64</v>
      </c>
      <c r="B61" s="25" t="n">
        <v>155339</v>
      </c>
      <c r="C61" s="25" t="n">
        <v>159971</v>
      </c>
      <c r="D61" s="25" t="n">
        <v>172318</v>
      </c>
      <c r="E61" s="25" t="n">
        <v>196405</v>
      </c>
      <c r="F61" s="26" t="n">
        <f aca="false">B61+C61+D61+E61</f>
        <v>684033</v>
      </c>
      <c r="G61" s="25" t="n">
        <v>201592</v>
      </c>
      <c r="H61" s="25" t="n">
        <v>265209</v>
      </c>
      <c r="I61" s="26" t="n">
        <f aca="false">I34*Assumptions!I19</f>
        <v>234473.73768</v>
      </c>
      <c r="J61" s="26" t="n">
        <f aca="false">J34*Assumptions!J19</f>
        <v>258753.92592</v>
      </c>
      <c r="K61" s="26" t="n">
        <f aca="false">G61+H61+I61+J61</f>
        <v>960028.6636</v>
      </c>
      <c r="L61" s="26" t="n">
        <f aca="false">L34*Assumptions!L19</f>
        <v>272714.5245</v>
      </c>
      <c r="M61" s="26" t="n">
        <f aca="false">M34*Assumptions!M19</f>
        <v>303374.4036</v>
      </c>
      <c r="N61" s="26" t="n">
        <f aca="false">N34*Assumptions!N19</f>
        <v>293257.788512</v>
      </c>
      <c r="O61" s="26" t="n">
        <f aca="false">O34*Assumptions!O19</f>
        <v>310895.665102</v>
      </c>
      <c r="P61" s="26" t="n">
        <f aca="false">L61+M61+N61+O61</f>
        <v>1180242.381714</v>
      </c>
    </row>
    <row r="62" customFormat="false" ht="15" hidden="false" customHeight="false" outlineLevel="0" collapsed="false">
      <c r="A62" s="29" t="s">
        <v>65</v>
      </c>
      <c r="B62" s="16" t="n">
        <f aca="false">B61/B34</f>
        <v>0.175751678725583</v>
      </c>
      <c r="C62" s="16" t="n">
        <f aca="false">C61/C34</f>
        <v>0.15938176561253</v>
      </c>
      <c r="D62" s="16" t="n">
        <f aca="false">D61/D34</f>
        <v>0.145897186671318</v>
      </c>
      <c r="E62" s="16" t="n">
        <f aca="false">E61/E34</f>
        <v>0.139610975816071</v>
      </c>
      <c r="F62" s="16" t="n">
        <f aca="false">F61/F34</f>
        <v>0.15284130341423</v>
      </c>
      <c r="G62" s="16" t="n">
        <f aca="false">G61/G34</f>
        <v>0.123480398852616</v>
      </c>
      <c r="H62" s="16" t="n">
        <f aca="false">H61/H34</f>
        <v>0.13702605680085</v>
      </c>
      <c r="I62" s="16" t="n">
        <f aca="false">I61/I34</f>
        <v>0.117</v>
      </c>
      <c r="J62" s="16" t="n">
        <f aca="false">J61/J34</f>
        <v>0.114</v>
      </c>
      <c r="K62" s="16" t="n">
        <f aca="false">K61/K34</f>
        <v>0.122423477014401</v>
      </c>
      <c r="L62" s="16" t="n">
        <f aca="false">L61/L34</f>
        <v>0.11</v>
      </c>
      <c r="M62" s="16" t="n">
        <f aca="false">M61/M34</f>
        <v>0.107</v>
      </c>
      <c r="N62" s="16" t="n">
        <f aca="false">N61/N34</f>
        <v>0.104</v>
      </c>
      <c r="O62" s="16" t="n">
        <f aca="false">O61/O34</f>
        <v>0.101</v>
      </c>
      <c r="P62" s="16" t="n">
        <f aca="false">P61/P34</f>
        <v>0.10526168909898</v>
      </c>
    </row>
  </sheetData>
  <mergeCells count="7">
    <mergeCell ref="A1:P1"/>
    <mergeCell ref="B4:F4"/>
    <mergeCell ref="G4:K4"/>
    <mergeCell ref="L4:P4"/>
    <mergeCell ref="A7:P7"/>
    <mergeCell ref="A25:P25"/>
    <mergeCell ref="A33:P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16" min="2" style="1" width="12.5"/>
  </cols>
  <sheetData>
    <row r="1" customFormat="false" ht="21.75" hidden="false" customHeight="true" outlineLevel="0" collapsed="false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67</v>
      </c>
    </row>
    <row r="3" customFormat="false" ht="15" hidden="false" customHeight="false" outlineLevel="0" collapsed="false">
      <c r="A3" s="3" t="s">
        <v>68</v>
      </c>
    </row>
    <row r="5" customFormat="false" ht="15.75" hidden="false" customHeight="true" outlineLevel="0" collapsed="false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</row>
    <row r="7" customFormat="false" ht="15.75" hidden="false" customHeight="true" outlineLevel="0" collapsed="false">
      <c r="A7" s="6" t="s">
        <v>69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false" ht="15" hidden="false" customHeight="false" outlineLevel="0" collapsed="false">
      <c r="A8" s="7" t="s">
        <v>70</v>
      </c>
      <c r="G8" s="16" t="n">
        <f aca="false">'Income Statement'!G8/'Income Statement'!B8-1</f>
        <v>0.841823056300268</v>
      </c>
      <c r="H8" s="16" t="n">
        <f aca="false">'Income Statement'!H8/'Income Statement'!C8-1</f>
        <v>0.89861534850974</v>
      </c>
      <c r="I8" s="30" t="n">
        <v>0.65</v>
      </c>
      <c r="J8" s="30" t="n">
        <v>0.55</v>
      </c>
      <c r="K8" s="16" t="n">
        <f aca="false">'Income Statement'!K8/'Income Statement'!F8-1</f>
        <v>0.714947981240903</v>
      </c>
      <c r="L8" s="30" t="n">
        <v>0.45</v>
      </c>
      <c r="M8" s="30" t="n">
        <v>0.4</v>
      </c>
      <c r="N8" s="30" t="n">
        <v>0.35</v>
      </c>
      <c r="O8" s="30" t="n">
        <v>0.3</v>
      </c>
      <c r="P8" s="16" t="n">
        <f aca="false">'Income Statement'!P8/'Income Statement'!K8-1</f>
        <v>0.370423398503803</v>
      </c>
    </row>
    <row r="9" customFormat="false" ht="15" hidden="false" customHeight="false" outlineLevel="0" collapsed="false">
      <c r="A9" s="7" t="s">
        <v>71</v>
      </c>
      <c r="G9" s="16" t="n">
        <f aca="false">'Income Statement'!G9/'Income Statement'!B9-1</f>
        <v>1.33333333333333</v>
      </c>
      <c r="H9" s="16" t="n">
        <f aca="false">'Income Statement'!H9/'Income Statement'!C9-1</f>
        <v>1.49265905383361</v>
      </c>
      <c r="I9" s="30" t="n">
        <v>1</v>
      </c>
      <c r="J9" s="30" t="n">
        <v>0.85</v>
      </c>
      <c r="K9" s="16" t="n">
        <f aca="false">'Income Statement'!K9/'Income Statement'!F9-1</f>
        <v>1.10914363698396</v>
      </c>
      <c r="L9" s="30" t="n">
        <v>0.7</v>
      </c>
      <c r="M9" s="30" t="n">
        <v>0.6</v>
      </c>
      <c r="N9" s="30" t="n">
        <v>0.52</v>
      </c>
      <c r="O9" s="30" t="n">
        <v>0.45</v>
      </c>
      <c r="P9" s="16" t="n">
        <f aca="false">'Income Statement'!P9/'Income Statement'!K9-1</f>
        <v>0.553181869651725</v>
      </c>
    </row>
    <row r="10" customFormat="false" ht="15" hidden="false" customHeight="false" outlineLevel="0" collapsed="false">
      <c r="A10" s="7" t="s">
        <v>72</v>
      </c>
      <c r="G10" s="16" t="n">
        <f aca="false">'Income Statement'!G10/'Income Statement'!B10-1</f>
        <v>0.504084659056009</v>
      </c>
      <c r="H10" s="16" t="n">
        <f aca="false">'Income Statement'!H10/'Income Statement'!C10-1</f>
        <v>0.42676323857412</v>
      </c>
      <c r="I10" s="30" t="n">
        <v>0.42</v>
      </c>
      <c r="J10" s="30" t="n">
        <v>0.38</v>
      </c>
      <c r="K10" s="16" t="n">
        <f aca="false">'Income Statement'!K10/'Income Statement'!F10-1</f>
        <v>0.427408947946497</v>
      </c>
      <c r="L10" s="30" t="n">
        <v>0.34</v>
      </c>
      <c r="M10" s="30" t="n">
        <v>0.3</v>
      </c>
      <c r="N10" s="30" t="n">
        <v>0.27</v>
      </c>
      <c r="O10" s="30" t="n">
        <v>0.24</v>
      </c>
      <c r="P10" s="16" t="n">
        <f aca="false">'Income Statement'!P10/'Income Statement'!K10-1</f>
        <v>0.283852372754848</v>
      </c>
    </row>
    <row r="11" customFormat="false" ht="15" hidden="false" customHeight="false" outlineLevel="0" collapsed="false">
      <c r="A11" s="7" t="s">
        <v>73</v>
      </c>
      <c r="G11" s="16" t="n">
        <f aca="false">'Income Statement'!G11/'Income Statement'!B11-1</f>
        <v>0.26274208552984</v>
      </c>
      <c r="H11" s="16" t="n">
        <f aca="false">'Income Statement'!H11/'Income Statement'!C11-1</f>
        <v>0.258074805497386</v>
      </c>
      <c r="I11" s="30" t="n">
        <v>0.32</v>
      </c>
      <c r="J11" s="30" t="n">
        <v>0.34</v>
      </c>
      <c r="K11" s="16" t="n">
        <f aca="false">'Income Statement'!K11/'Income Statement'!F11-1</f>
        <v>0.297533155931205</v>
      </c>
      <c r="L11" s="30" t="n">
        <v>0.35</v>
      </c>
      <c r="M11" s="30" t="n">
        <v>0.35</v>
      </c>
      <c r="N11" s="30" t="n">
        <v>0.33</v>
      </c>
      <c r="O11" s="30" t="n">
        <v>0.3</v>
      </c>
      <c r="P11" s="16" t="n">
        <f aca="false">'Income Statement'!P11/'Income Statement'!K11-1</f>
        <v>0.330472558768847</v>
      </c>
    </row>
    <row r="13" customFormat="false" ht="15.75" hidden="false" customHeight="true" outlineLevel="0" collapsed="false">
      <c r="A13" s="6" t="s">
        <v>74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customFormat="false" ht="15" hidden="false" customHeight="false" outlineLevel="0" collapsed="false">
      <c r="A14" s="7" t="s">
        <v>46</v>
      </c>
      <c r="B14" s="16" t="n">
        <f aca="false">'Income Statement'!B36/'Income Statement'!B34</f>
        <v>0.804300479150992</v>
      </c>
      <c r="C14" s="16" t="n">
        <f aca="false">'Income Statement'!C36/'Income Statement'!C34</f>
        <v>0.807776649725963</v>
      </c>
      <c r="D14" s="16" t="n">
        <f aca="false">'Income Statement'!D36/'Income Statement'!D34</f>
        <v>0.824478533425</v>
      </c>
      <c r="E14" s="16" t="n">
        <f aca="false">'Income Statement'!E36/'Income Statement'!E34</f>
        <v>0.846484437753145</v>
      </c>
      <c r="F14" s="16" t="n">
        <f aca="false">'Income Statement'!F36/'Income Statement'!F34</f>
        <v>0.823665172141503</v>
      </c>
      <c r="G14" s="16" t="n">
        <f aca="false">'Income Statement'!G36/'Income Statement'!G34</f>
        <v>0.867818052742188</v>
      </c>
      <c r="H14" s="16" t="n">
        <f aca="false">'Income Statement'!H36/'Income Statement'!H34</f>
        <v>0.846615591920077</v>
      </c>
      <c r="I14" s="30" t="n">
        <v>0.876</v>
      </c>
      <c r="J14" s="30" t="n">
        <v>0.88</v>
      </c>
      <c r="K14" s="16" t="n">
        <f aca="false">'Income Statement'!K36/'Income Statement'!K34</f>
        <v>0.86820197379213</v>
      </c>
      <c r="L14" s="30" t="n">
        <v>0.883</v>
      </c>
      <c r="M14" s="30" t="n">
        <v>0.886</v>
      </c>
      <c r="N14" s="30" t="n">
        <v>0.888</v>
      </c>
      <c r="O14" s="30" t="n">
        <v>0.89</v>
      </c>
      <c r="P14" s="16" t="n">
        <f aca="false">'Income Statement'!P36/'Income Statement'!P34</f>
        <v>0.886937760712345</v>
      </c>
    </row>
    <row r="15" customFormat="false" ht="15" hidden="false" customHeight="false" outlineLevel="0" collapsed="false">
      <c r="A15" s="7" t="s">
        <v>75</v>
      </c>
      <c r="B15" s="16" t="n">
        <f aca="false">'Income Statement'!B39/'Income Statement'!B34</f>
        <v>0.26736172788523</v>
      </c>
      <c r="C15" s="16" t="n">
        <f aca="false">'Income Statement'!C39/'Income Statement'!C34</f>
        <v>0.242890035538614</v>
      </c>
      <c r="D15" s="16" t="n">
        <f aca="false">'Income Statement'!D39/'Income Statement'!D34</f>
        <v>0.232527186705185</v>
      </c>
      <c r="E15" s="16" t="n">
        <f aca="false">'Income Statement'!E39/'Income Statement'!E34</f>
        <v>0.214760854761367</v>
      </c>
      <c r="F15" s="16" t="n">
        <f aca="false">'Income Statement'!F39/'Income Statement'!F34</f>
        <v>0.236146073486307</v>
      </c>
      <c r="G15" s="16" t="n">
        <f aca="false">'Income Statement'!G39/'Income Statement'!G34</f>
        <v>0.195530640708619</v>
      </c>
      <c r="H15" s="16" t="n">
        <f aca="false">'Income Statement'!H39/'Income Statement'!H34</f>
        <v>0.175410134210711</v>
      </c>
      <c r="I15" s="30" t="n">
        <v>0.185</v>
      </c>
      <c r="J15" s="30" t="n">
        <v>0.18</v>
      </c>
      <c r="K15" s="16" t="n">
        <f aca="false">'Income Statement'!K39/'Income Statement'!K34</f>
        <v>0.183378249608028</v>
      </c>
      <c r="L15" s="30" t="n">
        <v>0.175</v>
      </c>
      <c r="M15" s="30" t="n">
        <v>0.17</v>
      </c>
      <c r="N15" s="30" t="n">
        <v>0.165</v>
      </c>
      <c r="O15" s="30" t="n">
        <v>0.16</v>
      </c>
      <c r="P15" s="16" t="n">
        <f aca="false">'Income Statement'!P39/'Income Statement'!P34</f>
        <v>0.167102815164967</v>
      </c>
    </row>
    <row r="16" customFormat="false" ht="15" hidden="false" customHeight="false" outlineLevel="0" collapsed="false">
      <c r="A16" s="7" t="s">
        <v>76</v>
      </c>
      <c r="B16" s="16" t="n">
        <f aca="false">'Income Statement'!B41/'Income Statement'!B34</f>
        <v>0.152614399420719</v>
      </c>
      <c r="C16" s="16" t="n">
        <f aca="false">'Income Statement'!C41/'Income Statement'!C34</f>
        <v>0.134545584972357</v>
      </c>
      <c r="D16" s="16" t="n">
        <f aca="false">'Income Statement'!D41/'Income Statement'!D34</f>
        <v>0.122082784406295</v>
      </c>
      <c r="E16" s="16" t="n">
        <f aca="false">'Income Statement'!E41/'Income Statement'!E34</f>
        <v>0.102042789248238</v>
      </c>
      <c r="F16" s="16" t="n">
        <f aca="false">'Income Statement'!F41/'Income Statement'!F34</f>
        <v>0.124608139613348</v>
      </c>
      <c r="G16" s="16" t="n">
        <f aca="false">'Income Statement'!G41/'Income Statement'!G34</f>
        <v>0.0986050938910916</v>
      </c>
      <c r="H16" s="16" t="n">
        <f aca="false">'Income Statement'!H41/'Income Statement'!H34</f>
        <v>0.0994660711849975</v>
      </c>
      <c r="I16" s="30" t="n">
        <v>0.092</v>
      </c>
      <c r="J16" s="30" t="n">
        <v>0.09</v>
      </c>
      <c r="K16" s="16" t="n">
        <f aca="false">'Income Statement'!K41/'Income Statement'!K34</f>
        <v>0.0946389293003239</v>
      </c>
      <c r="L16" s="30" t="n">
        <v>0.088</v>
      </c>
      <c r="M16" s="30" t="n">
        <v>0.086</v>
      </c>
      <c r="N16" s="30" t="n">
        <v>0.084</v>
      </c>
      <c r="O16" s="30" t="n">
        <v>0.082</v>
      </c>
      <c r="P16" s="16" t="n">
        <f aca="false">'Income Statement'!P41/'Income Statement'!P34</f>
        <v>0.084841126065987</v>
      </c>
    </row>
    <row r="17" customFormat="false" ht="15" hidden="false" customHeight="false" outlineLevel="0" collapsed="false">
      <c r="A17" s="7" t="s">
        <v>77</v>
      </c>
      <c r="B17" s="16" t="n">
        <f aca="false">'Income Statement'!B43/'Income Statement'!B34</f>
        <v>0.185142359323645</v>
      </c>
      <c r="C17" s="16" t="n">
        <f aca="false">'Income Statement'!C43/'Income Statement'!C34</f>
        <v>0.162016026749109</v>
      </c>
      <c r="D17" s="16" t="n">
        <f aca="false">'Income Statement'!D43/'Income Statement'!D34</f>
        <v>0.136908894480701</v>
      </c>
      <c r="E17" s="16" t="n">
        <f aca="false">'Income Statement'!E43/'Income Statement'!E34</f>
        <v>0.120672276553488</v>
      </c>
      <c r="F17" s="16" t="n">
        <f aca="false">'Income Statement'!F43/'Income Statement'!F34</f>
        <v>0.146961442502043</v>
      </c>
      <c r="G17" s="16" t="n">
        <f aca="false">'Income Statement'!G43/'Income Statement'!G34</f>
        <v>0.111838724279256</v>
      </c>
      <c r="H17" s="16" t="n">
        <f aca="false">'Income Statement'!H43/'Income Statement'!H34</f>
        <v>0.100532482133483</v>
      </c>
      <c r="I17" s="30" t="n">
        <v>0.105</v>
      </c>
      <c r="J17" s="30" t="n">
        <v>0.102</v>
      </c>
      <c r="K17" s="16" t="n">
        <f aca="false">'Income Statement'!K43/'Income Statement'!K34</f>
        <v>0.104452777168385</v>
      </c>
      <c r="L17" s="30" t="n">
        <v>0.1</v>
      </c>
      <c r="M17" s="30" t="n">
        <v>0.098</v>
      </c>
      <c r="N17" s="30" t="n">
        <v>0.096</v>
      </c>
      <c r="O17" s="30" t="n">
        <v>0.094</v>
      </c>
      <c r="P17" s="16" t="n">
        <f aca="false">'Income Statement'!P43/'Income Statement'!P34</f>
        <v>0.096841126065987</v>
      </c>
    </row>
    <row r="18" customFormat="false" ht="15" hidden="false" customHeight="false" outlineLevel="0" collapsed="false">
      <c r="A18" s="7" t="s">
        <v>78</v>
      </c>
      <c r="B18" s="16" t="n">
        <f aca="false">'Income Statement'!B49/'Income Statement'!B34</f>
        <v>0.053479360302312</v>
      </c>
      <c r="C18" s="16" t="n">
        <f aca="false">'Income Statement'!C49/'Income Statement'!C34</f>
        <v>0.0626194957243072</v>
      </c>
      <c r="D18" s="16" t="n">
        <f aca="false">'Income Statement'!D49/'Income Statement'!D34</f>
        <v>0.0738680814026342</v>
      </c>
      <c r="E18" s="16" t="n">
        <f aca="false">'Income Statement'!E49/'Income Statement'!E34</f>
        <v>0.032690456794915</v>
      </c>
      <c r="F18" s="16" t="n">
        <f aca="false">'Income Statement'!F49/'Income Statement'!F34</f>
        <v>0.0543751393715844</v>
      </c>
      <c r="G18" s="16" t="n">
        <f aca="false">'Income Statement'!G49/'Income Statement'!G34</f>
        <v>0.0824478755444593</v>
      </c>
      <c r="H18" s="16" t="n">
        <f aca="false">'Income Statement'!H49/'Income Statement'!H34</f>
        <v>0.0874937482691489</v>
      </c>
      <c r="I18" s="30" t="n">
        <v>0.06</v>
      </c>
      <c r="J18" s="30" t="n">
        <v>0.055</v>
      </c>
      <c r="K18" s="16" t="n">
        <f aca="false">'Income Statement'!K49/'Income Statement'!K34</f>
        <v>0.0700119423596675</v>
      </c>
      <c r="L18" s="30" t="n">
        <v>0.05</v>
      </c>
      <c r="M18" s="30" t="n">
        <v>0.047</v>
      </c>
      <c r="N18" s="30" t="n">
        <v>0.044</v>
      </c>
      <c r="O18" s="30" t="n">
        <v>0.04</v>
      </c>
      <c r="P18" s="16" t="n">
        <f aca="false">'Income Statement'!P49/'Income Statement'!P34</f>
        <v>0.0449871574480698</v>
      </c>
    </row>
    <row r="19" customFormat="false" ht="15" hidden="false" customHeight="false" outlineLevel="0" collapsed="false">
      <c r="A19" s="31" t="s">
        <v>79</v>
      </c>
      <c r="B19" s="16" t="n">
        <f aca="false">'Income Statement'!B61/'Income Statement'!B34</f>
        <v>0.175751678725583</v>
      </c>
      <c r="C19" s="16" t="n">
        <f aca="false">'Income Statement'!C61/'Income Statement'!C34</f>
        <v>0.15938176561253</v>
      </c>
      <c r="D19" s="16" t="n">
        <f aca="false">'Income Statement'!D61/'Income Statement'!D34</f>
        <v>0.145897186671318</v>
      </c>
      <c r="E19" s="16" t="n">
        <f aca="false">'Income Statement'!E61/'Income Statement'!E34</f>
        <v>0.139610975816071</v>
      </c>
      <c r="F19" s="16" t="n">
        <f aca="false">'Income Statement'!F61/'Income Statement'!F34</f>
        <v>0.15284130341423</v>
      </c>
      <c r="G19" s="16" t="n">
        <f aca="false">'Income Statement'!G61/'Income Statement'!G34</f>
        <v>0.123480398852616</v>
      </c>
      <c r="H19" s="16" t="n">
        <f aca="false">'Income Statement'!H61/'Income Statement'!H34</f>
        <v>0.13702605680085</v>
      </c>
      <c r="I19" s="30" t="n">
        <v>0.117</v>
      </c>
      <c r="J19" s="30" t="n">
        <v>0.114</v>
      </c>
      <c r="K19" s="16" t="n">
        <f aca="false">'Income Statement'!K61/'Income Statement'!K34</f>
        <v>0.122423477014401</v>
      </c>
      <c r="L19" s="30" t="n">
        <v>0.11</v>
      </c>
      <c r="M19" s="30" t="n">
        <v>0.107</v>
      </c>
      <c r="N19" s="30" t="n">
        <v>0.104</v>
      </c>
      <c r="O19" s="30" t="n">
        <v>0.101</v>
      </c>
      <c r="P19" s="16" t="n">
        <f aca="false">'Income Statement'!P61/'Income Statement'!P34</f>
        <v>0.10526168909898</v>
      </c>
    </row>
    <row r="21" customFormat="false" ht="15.75" hidden="false" customHeight="true" outlineLevel="0" collapsed="false">
      <c r="A21" s="6" t="s">
        <v>80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customFormat="false" ht="15" hidden="false" customHeight="false" outlineLevel="0" collapsed="false">
      <c r="A22" s="7" t="s">
        <v>81</v>
      </c>
      <c r="B22" s="16" t="n">
        <f aca="false">'Income Statement'!B51/'Income Statement'!B50</f>
        <v>0.0250720951476831</v>
      </c>
      <c r="C22" s="16" t="n">
        <f aca="false">'Income Statement'!C51/'Income Statement'!C50</f>
        <v>0.0108258471616772</v>
      </c>
      <c r="D22" s="16" t="n">
        <f aca="false">'Income Statement'!D51/'Income Statement'!D50</f>
        <v>0.00781059768866246</v>
      </c>
      <c r="E22" s="16" t="n">
        <f aca="false">'Income Statement'!E51/'Income Statement'!E50</f>
        <v>0.0157326479803921</v>
      </c>
      <c r="F22" s="16" t="n">
        <f aca="false">'Income Statement'!F51/'Income Statement'!F50</f>
        <v>0.0137108958300148</v>
      </c>
      <c r="G22" s="16" t="n">
        <f aca="false">'Income Statement'!G51/'Income Statement'!G50</f>
        <v>0.0137283212600481</v>
      </c>
      <c r="H22" s="16" t="n">
        <f aca="false">'Income Statement'!H51/'Income Statement'!H50</f>
        <v>0.014225802126056</v>
      </c>
      <c r="I22" s="30" t="n">
        <v>0.015</v>
      </c>
      <c r="J22" s="30" t="n">
        <v>0.015</v>
      </c>
      <c r="K22" s="16" t="n">
        <f aca="false">'Income Statement'!K51/'Income Statement'!K50</f>
        <v>0.0145486098617081</v>
      </c>
      <c r="L22" s="30" t="n">
        <v>0.015</v>
      </c>
      <c r="M22" s="30" t="n">
        <v>0.015</v>
      </c>
      <c r="N22" s="30" t="n">
        <v>0.015</v>
      </c>
      <c r="O22" s="30" t="n">
        <v>0.015</v>
      </c>
      <c r="P22" s="16" t="n">
        <f aca="false">'Income Statement'!P51/'Income Statement'!P50</f>
        <v>0.015</v>
      </c>
    </row>
    <row r="23" customFormat="false" ht="15" hidden="false" customHeight="false" outlineLevel="0" collapsed="false">
      <c r="A23" s="7" t="s">
        <v>82</v>
      </c>
      <c r="B23" s="16" t="n">
        <f aca="false">'Income Statement'!B54/'Income Statement'!B53</f>
        <v>0.0169302351217406</v>
      </c>
      <c r="C23" s="16" t="n">
        <f aca="false">'Income Statement'!C54/'Income Statement'!C53</f>
        <v>0.00561520762572587</v>
      </c>
      <c r="D23" s="16" t="n">
        <f aca="false">'Income Statement'!D54/'Income Statement'!D53</f>
        <v>0.00241007828034937</v>
      </c>
      <c r="E23" s="16" t="n">
        <f aca="false">'Income Statement'!E54/'Income Statement'!E53</f>
        <v>0.00479229309017065</v>
      </c>
      <c r="F23" s="16" t="n">
        <f aca="false">'Income Statement'!F54/'Income Statement'!F53</f>
        <v>0.00587956766121553</v>
      </c>
      <c r="G23" s="16" t="n">
        <f aca="false">'Income Statement'!G54/'Income Statement'!G53</f>
        <v>0.00670354472034523</v>
      </c>
      <c r="H23" s="16" t="n">
        <f aca="false">'Income Statement'!H54/'Income Statement'!H53</f>
        <v>0.00382002360309279</v>
      </c>
      <c r="I23" s="30" t="n">
        <v>0.005</v>
      </c>
      <c r="J23" s="30" t="n">
        <v>0.005</v>
      </c>
      <c r="K23" s="16" t="n">
        <f aca="false">'Income Statement'!K54/'Income Statement'!K53</f>
        <v>0.00505476094551296</v>
      </c>
      <c r="L23" s="30" t="n">
        <v>0.005</v>
      </c>
      <c r="M23" s="30" t="n">
        <v>0.005</v>
      </c>
      <c r="N23" s="30" t="n">
        <v>0.005</v>
      </c>
      <c r="O23" s="30" t="n">
        <v>0.005</v>
      </c>
      <c r="P23" s="16" t="n">
        <f aca="false">'Income Statement'!P54/'Income Statement'!P53</f>
        <v>0.005</v>
      </c>
    </row>
    <row r="24" customFormat="false" ht="15" hidden="false" customHeight="false" outlineLevel="0" collapsed="false">
      <c r="A24" s="7" t="s">
        <v>83</v>
      </c>
      <c r="C24" s="16" t="n">
        <f aca="false">'Income Statement'!C58/'Income Statement'!B58-1</f>
        <v>0.00395406174666579</v>
      </c>
      <c r="D24" s="16" t="n">
        <f aca="false">'Income Statement'!D58/'Income Statement'!C58-1</f>
        <v>0.00317802562085623</v>
      </c>
      <c r="E24" s="16" t="n">
        <f aca="false">'Income Statement'!E58/'Income Statement'!D58-1</f>
        <v>0.00094902602314928</v>
      </c>
      <c r="G24" s="16" t="n">
        <f aca="false">'Income Statement'!G58/'Income Statement'!E58-1</f>
        <v>-0.000999806877567733</v>
      </c>
      <c r="H24" s="16" t="n">
        <f aca="false">'Income Statement'!H58/'Income Statement'!G58-1</f>
        <v>-0.000867392423891222</v>
      </c>
      <c r="I24" s="30" t="n">
        <v>0.002</v>
      </c>
      <c r="J24" s="30" t="n">
        <v>0.002</v>
      </c>
      <c r="K24" s="16" t="n">
        <f aca="false">'Income Statement'!K58/'Income Statement'!F58-1</f>
        <v>0.00313289951584173</v>
      </c>
      <c r="L24" s="30" t="n">
        <v>0.002</v>
      </c>
      <c r="M24" s="30" t="n">
        <v>0.002</v>
      </c>
      <c r="N24" s="30" t="n">
        <v>0.002</v>
      </c>
      <c r="O24" s="30" t="n">
        <v>0.002</v>
      </c>
      <c r="P24" s="16" t="n">
        <f aca="false">'Income Statement'!P58/'Income Statement'!K58-1</f>
        <v>0.00730348606775588</v>
      </c>
    </row>
  </sheetData>
  <mergeCells count="4">
    <mergeCell ref="A1:P1"/>
    <mergeCell ref="A7:P7"/>
    <mergeCell ref="A13:P13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95"/>
  </cols>
  <sheetData>
    <row r="1" customFormat="false" ht="21.75" hidden="false" customHeight="true" outlineLevel="0" collapsed="false">
      <c r="A1" s="2" t="s">
        <v>84</v>
      </c>
      <c r="B1" s="2"/>
      <c r="C1" s="2"/>
      <c r="D1" s="2"/>
    </row>
    <row r="2" customFormat="false" ht="60" hidden="false" customHeight="true" outlineLevel="0" collapsed="false">
      <c r="A2" s="32" t="s">
        <v>85</v>
      </c>
      <c r="B2" s="32"/>
      <c r="C2" s="32"/>
      <c r="D2" s="32"/>
    </row>
    <row r="4" customFormat="false" ht="15" hidden="false" customHeight="false" outlineLevel="0" collapsed="false">
      <c r="A4" s="33" t="s">
        <v>86</v>
      </c>
      <c r="B4" s="33" t="s">
        <v>87</v>
      </c>
      <c r="C4" s="33" t="s">
        <v>88</v>
      </c>
      <c r="D4" s="33" t="s">
        <v>89</v>
      </c>
    </row>
    <row r="5" customFormat="false" ht="15" hidden="false" customHeight="false" outlineLevel="0" collapsed="false">
      <c r="A5" s="34" t="s">
        <v>90</v>
      </c>
      <c r="B5" s="34" t="s">
        <v>91</v>
      </c>
      <c r="C5" s="34" t="s">
        <v>92</v>
      </c>
      <c r="D5" s="35" t="s">
        <v>93</v>
      </c>
    </row>
    <row r="6" customFormat="false" ht="15" hidden="false" customHeight="false" outlineLevel="0" collapsed="false">
      <c r="A6" s="34" t="s">
        <v>94</v>
      </c>
      <c r="B6" s="34" t="s">
        <v>95</v>
      </c>
      <c r="C6" s="34" t="s">
        <v>92</v>
      </c>
      <c r="D6" s="35" t="s">
        <v>96</v>
      </c>
    </row>
    <row r="7" customFormat="false" ht="15" hidden="false" customHeight="false" outlineLevel="0" collapsed="false">
      <c r="A7" s="34" t="s">
        <v>97</v>
      </c>
      <c r="B7" s="34" t="s">
        <v>98</v>
      </c>
      <c r="C7" s="34" t="s">
        <v>99</v>
      </c>
      <c r="D7" s="35" t="s">
        <v>100</v>
      </c>
    </row>
    <row r="8" customFormat="false" ht="15" hidden="false" customHeight="false" outlineLevel="0" collapsed="false">
      <c r="A8" s="34" t="s">
        <v>94</v>
      </c>
      <c r="B8" s="34" t="s">
        <v>98</v>
      </c>
      <c r="C8" s="34" t="s">
        <v>99</v>
      </c>
      <c r="D8" s="35" t="s">
        <v>101</v>
      </c>
    </row>
    <row r="9" customFormat="false" ht="15" hidden="false" customHeight="false" outlineLevel="0" collapsed="false">
      <c r="A9" s="34" t="s">
        <v>102</v>
      </c>
      <c r="B9" s="34" t="s">
        <v>103</v>
      </c>
      <c r="C9" s="34" t="s">
        <v>104</v>
      </c>
      <c r="D9" s="35" t="s">
        <v>105</v>
      </c>
    </row>
    <row r="10" customFormat="false" ht="15" hidden="false" customHeight="false" outlineLevel="0" collapsed="false">
      <c r="A10" s="34" t="s">
        <v>94</v>
      </c>
      <c r="B10" s="34" t="s">
        <v>106</v>
      </c>
      <c r="C10" s="34" t="s">
        <v>104</v>
      </c>
      <c r="D10" s="35" t="s">
        <v>107</v>
      </c>
    </row>
    <row r="11" customFormat="false" ht="15" hidden="false" customHeight="false" outlineLevel="0" collapsed="false">
      <c r="A11" s="34" t="s">
        <v>108</v>
      </c>
      <c r="B11" s="34" t="s">
        <v>109</v>
      </c>
      <c r="C11" s="34" t="s">
        <v>110</v>
      </c>
      <c r="D11" s="35" t="s">
        <v>111</v>
      </c>
    </row>
    <row r="12" customFormat="false" ht="15" hidden="false" customHeight="false" outlineLevel="0" collapsed="false">
      <c r="A12" s="34" t="s">
        <v>112</v>
      </c>
      <c r="B12" s="34" t="s">
        <v>113</v>
      </c>
      <c r="C12" s="34" t="s">
        <v>114</v>
      </c>
      <c r="D12" s="35" t="s">
        <v>115</v>
      </c>
    </row>
    <row r="13" customFormat="false" ht="15" hidden="false" customHeight="false" outlineLevel="0" collapsed="false">
      <c r="A13" s="34" t="s">
        <v>116</v>
      </c>
      <c r="B13" s="34" t="s">
        <v>117</v>
      </c>
      <c r="C13" s="34" t="s">
        <v>118</v>
      </c>
      <c r="D13" s="35" t="s">
        <v>119</v>
      </c>
    </row>
    <row r="14" customFormat="false" ht="15" hidden="false" customHeight="false" outlineLevel="0" collapsed="false">
      <c r="A14" s="34" t="s">
        <v>94</v>
      </c>
      <c r="B14" s="34" t="s">
        <v>120</v>
      </c>
      <c r="C14" s="34" t="s">
        <v>118</v>
      </c>
      <c r="D14" s="35" t="s">
        <v>121</v>
      </c>
    </row>
    <row r="16" customFormat="false" ht="15" hidden="false" customHeight="false" outlineLevel="0" collapsed="false">
      <c r="A16" s="10" t="s">
        <v>122</v>
      </c>
    </row>
    <row r="17" customFormat="false" ht="27.75" hidden="false" customHeight="true" outlineLevel="0" collapsed="false">
      <c r="A17" s="36" t="s">
        <v>123</v>
      </c>
      <c r="B17" s="36"/>
      <c r="C17" s="36"/>
      <c r="D17" s="36"/>
    </row>
    <row r="18" customFormat="false" ht="27.75" hidden="false" customHeight="true" outlineLevel="0" collapsed="false">
      <c r="A18" s="36" t="s">
        <v>124</v>
      </c>
      <c r="B18" s="36"/>
      <c r="C18" s="36"/>
      <c r="D18" s="36"/>
    </row>
    <row r="19" customFormat="false" ht="27.75" hidden="false" customHeight="true" outlineLevel="0" collapsed="false">
      <c r="A19" s="36" t="s">
        <v>125</v>
      </c>
      <c r="B19" s="36"/>
      <c r="C19" s="36"/>
      <c r="D19" s="36"/>
    </row>
    <row r="20" customFormat="false" ht="27.75" hidden="false" customHeight="true" outlineLevel="0" collapsed="false">
      <c r="A20" s="36" t="s">
        <v>126</v>
      </c>
      <c r="B20" s="36"/>
      <c r="C20" s="36"/>
      <c r="D20" s="36"/>
    </row>
    <row r="21" customFormat="false" ht="27.75" hidden="false" customHeight="true" outlineLevel="0" collapsed="false">
      <c r="A21" s="36" t="s">
        <v>127</v>
      </c>
      <c r="B21" s="36"/>
      <c r="C21" s="36"/>
      <c r="D21" s="36"/>
    </row>
    <row r="22" customFormat="false" ht="27.75" hidden="false" customHeight="true" outlineLevel="0" collapsed="false">
      <c r="A22" s="36" t="s">
        <v>128</v>
      </c>
      <c r="B22" s="36"/>
      <c r="C22" s="36"/>
      <c r="D22" s="36"/>
    </row>
  </sheetData>
  <mergeCells count="8">
    <mergeCell ref="A1:D1"/>
    <mergeCell ref="A2:D2"/>
    <mergeCell ref="A17:D17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2026-08-19T11:58:54Z</dcterms:created>
  <dc:creator>openpyxl</dc:creator>
  <dc:description/>
  <dc:language>en-US</dc:language>
  <cp:lastModifiedBy/>
  <dcterms:modified xsi:type="dcterms:W3CDTF">2026-08-19T11:58:54Z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